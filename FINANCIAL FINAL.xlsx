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<sst xmlns="http://schemas.openxmlformats.org/spreadsheetml/2006/main" count="163" uniqueCount="137">
  <si>
    <t xml:space="preserve">Profitability Statement</t>
  </si>
  <si>
    <t xml:space="preserve">Period Ends on:</t>
  </si>
  <si>
    <t xml:space="preserve">Result Type:</t>
  </si>
  <si>
    <t xml:space="preserve">AUDITED  </t>
  </si>
  <si>
    <t xml:space="preserve">AUDITED </t>
  </si>
  <si>
    <t xml:space="preserve">Auditor Qualification:</t>
  </si>
  <si>
    <t xml:space="preserve">CA</t>
  </si>
  <si>
    <t xml:space="preserve">No. of months in current financial year</t>
  </si>
  <si>
    <t xml:space="preserve">12 MONTHS </t>
  </si>
  <si>
    <t xml:space="preserve">Net Sales</t>
  </si>
  <si>
    <t xml:space="preserve">Other Income (related to operations)</t>
  </si>
  <si>
    <t xml:space="preserve">Total Operating Income</t>
  </si>
  <si>
    <t xml:space="preserve">Handling Costs</t>
  </si>
  <si>
    <t xml:space="preserve">Cost of Traded Goods Sale</t>
  </si>
  <si>
    <t xml:space="preserve">Consumable Stores</t>
  </si>
  <si>
    <t xml:space="preserve">Power and Fuel</t>
  </si>
  <si>
    <t xml:space="preserve">Employee Costs</t>
  </si>
  <si>
    <t xml:space="preserve">Other Expenses</t>
  </si>
  <si>
    <t xml:space="preserve">Selling Expenses</t>
  </si>
  <si>
    <t xml:space="preserve">Other related Expenses</t>
  </si>
  <si>
    <t xml:space="preserve">Cost of Sales</t>
  </si>
  <si>
    <t xml:space="preserve">PBILDT</t>
  </si>
  <si>
    <t xml:space="preserve">Depreciation</t>
  </si>
  <si>
    <t xml:space="preserve">PBIT</t>
  </si>
  <si>
    <t xml:space="preserve">Interest and Finance Charges</t>
  </si>
  <si>
    <t xml:space="preserve">Operating Profit Before Tax  (OPBT)</t>
  </si>
  <si>
    <t xml:space="preserve">Operating Profit After Tax (OPAT)</t>
  </si>
  <si>
    <t xml:space="preserve">Non-Operating Income / (Expense)</t>
  </si>
  <si>
    <t xml:space="preserve">Profit Before Tax (PBT)</t>
  </si>
  <si>
    <t xml:space="preserve">Cash Adjustments</t>
  </si>
  <si>
    <t xml:space="preserve">Adjusted Profit Before Tax  (APBT)</t>
  </si>
  <si>
    <t xml:space="preserve">Tax</t>
  </si>
  <si>
    <t xml:space="preserve">Provision for Deferred Tax</t>
  </si>
  <si>
    <t xml:space="preserve">Adjusted Profit After Tax  (APAT)</t>
  </si>
  <si>
    <t xml:space="preserve">Gross Cash Accruals</t>
  </si>
  <si>
    <t xml:space="preserve">Balance Sheet: Assets</t>
  </si>
  <si>
    <t xml:space="preserve">SUMMARY: ASSETS</t>
  </si>
  <si>
    <t xml:space="preserve">Gross Block</t>
  </si>
  <si>
    <t xml:space="preserve">Accumulated Depreciation</t>
  </si>
  <si>
    <t xml:space="preserve">Net Block</t>
  </si>
  <si>
    <t xml:space="preserve">Capital Work in Progress</t>
  </si>
  <si>
    <t xml:space="preserve">NET FIXED ASSETS</t>
  </si>
  <si>
    <t xml:space="preserve">Investments in Affiliate Companies</t>
  </si>
  <si>
    <t xml:space="preserve">Marketable Securities</t>
  </si>
  <si>
    <r>
      <rPr>
        <b val="true"/>
        <sz val="11"/>
        <color theme="1"/>
        <rFont val="Arial"/>
        <family val="2"/>
        <charset val="1"/>
      </rPr>
      <t xml:space="preserve">TOTAL INVESTMENTS</t>
    </r>
    <r>
      <rPr>
        <sz val="11"/>
        <color theme="1"/>
        <rFont val="Arial"/>
        <family val="2"/>
        <charset val="1"/>
      </rPr>
      <t xml:space="preserve">: net of provision</t>
    </r>
  </si>
  <si>
    <t xml:space="preserve">Receivables : More than 6 months</t>
  </si>
  <si>
    <t xml:space="preserve">Receivables : Less than 6 months</t>
  </si>
  <si>
    <t xml:space="preserve">Less: Provision for doubtful debts</t>
  </si>
  <si>
    <t xml:space="preserve">Bills Receivable</t>
  </si>
  <si>
    <t xml:space="preserve">TOTAL RECEIVABLES</t>
  </si>
  <si>
    <t xml:space="preserve">Loans &amp; Advances to Subsidiaries</t>
  </si>
  <si>
    <t xml:space="preserve">Loans &amp; Advances to Affiliate Companies</t>
  </si>
  <si>
    <t xml:space="preserve">Loans; Advances;  current assets  related to operations</t>
  </si>
  <si>
    <t xml:space="preserve">Cash and Bank Balances</t>
  </si>
  <si>
    <t xml:space="preserve">Total Inventories  Non-operational Assets</t>
  </si>
  <si>
    <t xml:space="preserve">Loans;  Advances;  current assets not related to operations</t>
  </si>
  <si>
    <t xml:space="preserve">Advance Tax Paid</t>
  </si>
  <si>
    <t xml:space="preserve">TOTAL OTHER ASSETS</t>
  </si>
  <si>
    <t xml:space="preserve">TOTAL CURRENT ASSETS related to operations</t>
  </si>
  <si>
    <t xml:space="preserve">TOTAL ASSETS</t>
  </si>
  <si>
    <t xml:space="preserve">Balance Sheet: Liabilities</t>
  </si>
  <si>
    <t xml:space="preserve">SUMARY: LIABILITIES</t>
  </si>
  <si>
    <t xml:space="preserve">Total Paid Up Equity Share Capital</t>
  </si>
  <si>
    <t xml:space="preserve">Share Application Money pending allotment</t>
  </si>
  <si>
    <t xml:space="preserve">Quasi Equity :FCD; CCPS etc.</t>
  </si>
  <si>
    <t xml:space="preserve">GROSS RESERVES</t>
  </si>
  <si>
    <t xml:space="preserve">Intangible Assets</t>
  </si>
  <si>
    <t xml:space="preserve">Miscellaneous expenses not written off</t>
  </si>
  <si>
    <t xml:space="preserve">Debit Balance in Profit and loss Account</t>
  </si>
  <si>
    <t xml:space="preserve">NET RESERVES</t>
  </si>
  <si>
    <t xml:space="preserve">TANGIBLE NET WORTH</t>
  </si>
  <si>
    <t xml:space="preserve">Deferred Payment Credit</t>
  </si>
  <si>
    <t xml:space="preserve">Rupee Term Loans</t>
  </si>
  <si>
    <t xml:space="preserve">TOTAL LONG TERM DEBT</t>
  </si>
  <si>
    <t xml:space="preserve">Current Portion of Long Term Debt and Fixed Deposits</t>
  </si>
  <si>
    <t xml:space="preserve">NET LONG TERM DEBT</t>
  </si>
  <si>
    <t xml:space="preserve">Working capital Bank Borrowings</t>
  </si>
  <si>
    <t xml:space="preserve">Intercorporate Borrowings: excluding from affiliates; subsidiaries</t>
  </si>
  <si>
    <t xml:space="preserve">Loans &amp; Advances from Subsidiaries</t>
  </si>
  <si>
    <t xml:space="preserve">Loans &amp; Advances from  promoters; other affiliated cos.</t>
  </si>
  <si>
    <t xml:space="preserve">Other Short Term Loans &amp; Advances</t>
  </si>
  <si>
    <t xml:space="preserve">New Short Term Loans</t>
  </si>
  <si>
    <t xml:space="preserve">TOTAL SHORT TERM DEBT</t>
  </si>
  <si>
    <t xml:space="preserve">Creditors for goods</t>
  </si>
  <si>
    <t xml:space="preserve">Creditors for Expenses</t>
  </si>
  <si>
    <t xml:space="preserve">Other Current Liabilities: related to ops.</t>
  </si>
  <si>
    <t xml:space="preserve">Current Liabilities: not related to operations</t>
  </si>
  <si>
    <t xml:space="preserve">TOTAL OTHER LIABILITIES</t>
  </si>
  <si>
    <t xml:space="preserve">Provision for Dividend</t>
  </si>
  <si>
    <t xml:space="preserve">Provision for Taxes</t>
  </si>
  <si>
    <t xml:space="preserve">Other Provisions; regular</t>
  </si>
  <si>
    <t xml:space="preserve">Total Provisions</t>
  </si>
  <si>
    <t xml:space="preserve">Total Current Liabilities and Provisions; related to operations</t>
  </si>
  <si>
    <t xml:space="preserve">TOTAL OUTSIDE LIABILITIES</t>
  </si>
  <si>
    <t xml:space="preserve">TOTAL LIABILITIES</t>
  </si>
  <si>
    <t xml:space="preserve">Particulars</t>
  </si>
  <si>
    <t xml:space="preserve">Current Ratio</t>
  </si>
  <si>
    <t xml:space="preserve">Working Capital Turnover Ratio</t>
  </si>
  <si>
    <t xml:space="preserve">Average Collection Period (days)</t>
  </si>
  <si>
    <t xml:space="preserve">Average Creditors Period (days)</t>
  </si>
  <si>
    <t xml:space="preserve">Working Capital Cycle (days)  </t>
  </si>
  <si>
    <t xml:space="preserve">Financial Flexibility:</t>
  </si>
  <si>
    <t xml:space="preserve">Capital Structure Ratio</t>
  </si>
  <si>
    <t xml:space="preserve">Debt Equity Ratio</t>
  </si>
  <si>
    <t xml:space="preserve">Overall Gearing Ratio (Including Acceptances / Creditors on LC)</t>
  </si>
  <si>
    <t xml:space="preserve">Overall Gearing Ratio (Excluding Acceptances / Creditors on LC)</t>
  </si>
  <si>
    <t xml:space="preserve">Adjusted Overall Gearing</t>
  </si>
  <si>
    <t xml:space="preserve">Average Cost of Borrowings</t>
  </si>
  <si>
    <t xml:space="preserve">Total Outside Liabilities to Networth</t>
  </si>
  <si>
    <t xml:space="preserve">Summary of Ratios</t>
  </si>
  <si>
    <t xml:space="preserve">KEY FINANCIAL RATIOS</t>
  </si>
  <si>
    <t xml:space="preserve">Growth Ratios (%)</t>
  </si>
  <si>
    <t xml:space="preserve">Growth in Net sales</t>
  </si>
  <si>
    <t xml:space="preserve">Growth in Total Operating Income</t>
  </si>
  <si>
    <t xml:space="preserve">Growth in PBILDT</t>
  </si>
  <si>
    <t xml:space="preserve">Growth in APAT</t>
  </si>
  <si>
    <t xml:space="preserve">Profitability Ratios (%)</t>
  </si>
  <si>
    <t xml:space="preserve">Gross Margin</t>
  </si>
  <si>
    <t xml:space="preserve">PBILDT Margin</t>
  </si>
  <si>
    <t xml:space="preserve">PBIT Margin</t>
  </si>
  <si>
    <t xml:space="preserve">OPBT Margin</t>
  </si>
  <si>
    <t xml:space="preserve">OPAT Margin</t>
  </si>
  <si>
    <t xml:space="preserve">APAT Margin</t>
  </si>
  <si>
    <t xml:space="preserve">Operating ROCE</t>
  </si>
  <si>
    <t xml:space="preserve">ROCE (Total)</t>
  </si>
  <si>
    <t xml:space="preserve">RONW</t>
  </si>
  <si>
    <t xml:space="preserve">Turnover Ratios</t>
  </si>
  <si>
    <t xml:space="preserve">Operating Capital Turnover Ratio</t>
  </si>
  <si>
    <t xml:space="preserve">Fixed Assets Turnover Ratio</t>
  </si>
  <si>
    <t xml:space="preserve">Working Capital Cycle (days)</t>
  </si>
  <si>
    <t xml:space="preserve">Solvency Ratios :</t>
  </si>
  <si>
    <t xml:space="preserve">Adjusted Debt Equity Ratio</t>
  </si>
  <si>
    <t xml:space="preserve">Term Debt (including CPLTD) / Gross Cash Accruals</t>
  </si>
  <si>
    <t xml:space="preserve">Total Debt / Gross Cash Accruals</t>
  </si>
  <si>
    <t xml:space="preserve">Interest Coverage (PBILDT / Interest)</t>
  </si>
  <si>
    <t xml:space="preserve">PBIT / Interest</t>
  </si>
  <si>
    <t xml:space="preserve">Adjusted Interest Coverage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</si>
</sst>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m/d/yyyy"/>
    <numFmt numFmtId="167" formatCode="0.0000"/>
    <numFmt numFmtId="168" formatCode="#,##0.00"/>
    <numFmt numFmtId="169" formatCode="_ * #,##0.00_ ;_ * \-#,##0.00_ ;_ * \-??_ ;_ @_ "/>
    <numFmt numFmtId="170" formatCode="0.0"/>
    <numFmt numFmtId="171" formatCode="&quot;₹ &quot;#,##0"/>
    <numFmt numFmtId="172" formatCode="0"/>
    <numFmt numFmtId="173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6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2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2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5" fillId="0" borderId="1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1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0" borderId="1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1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2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6" fillId="0" borderId="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6" fillId="0" borderId="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5" fillId="0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0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2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2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2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9" xfId="15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1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0" xfId="15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22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" fillId="0" borderId="2" xfId="15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6" fillId="0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3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6" fillId="0" borderId="2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0" fillId="2" borderId="2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2" borderId="2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0" fillId="2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2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2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2" fontId="6" fillId="2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7"/>
  <sheetViews>
    <sheetView showFormulas="false" showGridLines="true" showRowColHeaders="true" showZeros="true" rightToLeft="false" tabSelected="true" showOutlineSymbols="true" defaultGridColor="true" view="normal" topLeftCell="A160" colorId="64" zoomScale="100" zoomScaleNormal="100" zoomScalePageLayoutView="100" workbookViewId="0">
      <selection pane="topLeft" activeCell="F115" activeCellId="0" sqref="F115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58.14"/>
    <col collapsed="false" customWidth="true" hidden="false" outlineLevel="0" max="2" min="2" style="1" width="15.86"/>
    <col collapsed="false" customWidth="true" hidden="false" outlineLevel="0" max="3" min="3" style="0" width="15.72"/>
    <col collapsed="false" customWidth="true" hidden="false" outlineLevel="0" max="4" min="4" style="0" width="14.86"/>
  </cols>
  <sheetData>
    <row r="2" customFormat="false" ht="17.35" hidden="false" customHeight="false" outlineLevel="0" collapsed="false">
      <c r="A2" s="2" t="s">
        <v>0</v>
      </c>
      <c r="B2" s="2"/>
      <c r="C2" s="2"/>
      <c r="D2" s="2"/>
    </row>
    <row r="3" customFormat="false" ht="15" hidden="false" customHeight="false" outlineLevel="0" collapsed="false">
      <c r="A3" s="3" t="s">
        <v>1</v>
      </c>
      <c r="B3" s="4"/>
      <c r="C3" s="4"/>
      <c r="D3" s="4"/>
    </row>
    <row r="4" customFormat="false" ht="15" hidden="false" customHeight="false" outlineLevel="0" collapsed="false">
      <c r="A4" s="5" t="s">
        <v>2</v>
      </c>
      <c r="B4" s="6" t="s">
        <v>3</v>
      </c>
      <c r="C4" s="7" t="s">
        <v>3</v>
      </c>
      <c r="D4" s="7" t="s">
        <v>4</v>
      </c>
    </row>
    <row r="5" customFormat="false" ht="15" hidden="false" customHeight="false" outlineLevel="0" collapsed="false">
      <c r="A5" s="8" t="s">
        <v>5</v>
      </c>
      <c r="B5" s="9" t="s">
        <v>6</v>
      </c>
      <c r="C5" s="10" t="s">
        <v>6</v>
      </c>
      <c r="D5" s="10" t="s">
        <v>6</v>
      </c>
    </row>
    <row r="6" customFormat="false" ht="15" hidden="false" customHeight="false" outlineLevel="0" collapsed="false">
      <c r="A6" s="8" t="s">
        <v>7</v>
      </c>
      <c r="B6" s="11" t="s">
        <v>8</v>
      </c>
      <c r="C6" s="12" t="s">
        <v>8</v>
      </c>
      <c r="D6" s="12" t="s">
        <v>8</v>
      </c>
    </row>
    <row r="7" customFormat="false" ht="15" hidden="false" customHeight="false" outlineLevel="0" collapsed="false">
      <c r="A7" s="8" t="s">
        <v>9</v>
      </c>
      <c r="B7" s="11"/>
      <c r="C7" s="11"/>
      <c r="D7" s="11" t="n">
        <v>0</v>
      </c>
    </row>
    <row r="8" customFormat="false" ht="15" hidden="false" customHeight="false" outlineLevel="0" collapsed="false">
      <c r="A8" s="8" t="s">
        <v>10</v>
      </c>
      <c r="B8" s="11"/>
      <c r="C8" s="11" t="n">
        <v>0</v>
      </c>
      <c r="D8" s="11" t="n">
        <v>0</v>
      </c>
    </row>
    <row r="9" customFormat="false" ht="15" hidden="false" customHeight="false" outlineLevel="0" collapsed="false">
      <c r="A9" s="8" t="s">
        <v>11</v>
      </c>
      <c r="B9" s="11" t="n">
        <f aca="false">SUM(B7+B8)</f>
        <v>0</v>
      </c>
      <c r="C9" s="11" t="n">
        <f aca="false">SUM(C7+C8)</f>
        <v>0</v>
      </c>
      <c r="D9" s="11" t="n">
        <f aca="false">SUM(D7+D8)</f>
        <v>0</v>
      </c>
    </row>
    <row r="10" customFormat="false" ht="15" hidden="false" customHeight="false" outlineLevel="0" collapsed="false">
      <c r="A10" s="8" t="s">
        <v>12</v>
      </c>
      <c r="B10" s="11" t="n">
        <v>0</v>
      </c>
      <c r="C10" s="11" t="n">
        <v>0</v>
      </c>
      <c r="D10" s="11" t="n">
        <v>0</v>
      </c>
    </row>
    <row r="11" customFormat="false" ht="15" hidden="false" customHeight="false" outlineLevel="0" collapsed="false">
      <c r="A11" s="8" t="s">
        <v>13</v>
      </c>
      <c r="B11" s="11"/>
      <c r="C11" s="11"/>
      <c r="D11" s="11" t="n">
        <v>0</v>
      </c>
    </row>
    <row r="12" customFormat="false" ht="15" hidden="false" customHeight="false" outlineLevel="0" collapsed="false">
      <c r="A12" s="8" t="s">
        <v>14</v>
      </c>
      <c r="B12" s="11" t="n">
        <v>0</v>
      </c>
      <c r="C12" s="11" t="n">
        <v>0</v>
      </c>
      <c r="D12" s="11" t="n">
        <v>0</v>
      </c>
    </row>
    <row r="13" customFormat="false" ht="15" hidden="false" customHeight="false" outlineLevel="0" collapsed="false">
      <c r="A13" s="8" t="s">
        <v>15</v>
      </c>
      <c r="B13" s="11" t="n">
        <v>0</v>
      </c>
      <c r="C13" s="11" t="n">
        <v>0</v>
      </c>
      <c r="D13" s="11" t="n">
        <v>0</v>
      </c>
    </row>
    <row r="14" customFormat="false" ht="15" hidden="false" customHeight="false" outlineLevel="0" collapsed="false">
      <c r="A14" s="0" t="s">
        <v>16</v>
      </c>
      <c r="B14" s="11"/>
      <c r="C14" s="11"/>
      <c r="D14" s="11" t="n">
        <v>0</v>
      </c>
    </row>
    <row r="15" customFormat="false" ht="15" hidden="false" customHeight="false" outlineLevel="0" collapsed="false">
      <c r="A15" s="8" t="s">
        <v>17</v>
      </c>
      <c r="B15" s="11"/>
      <c r="C15" s="11"/>
      <c r="D15" s="11" t="n">
        <v>0</v>
      </c>
    </row>
    <row r="16" customFormat="false" ht="15" hidden="false" customHeight="false" outlineLevel="0" collapsed="false">
      <c r="A16" s="8" t="s">
        <v>18</v>
      </c>
      <c r="B16" s="11" t="n">
        <v>0</v>
      </c>
      <c r="C16" s="11" t="n">
        <v>0</v>
      </c>
      <c r="D16" s="11" t="n">
        <v>0</v>
      </c>
    </row>
    <row r="17" customFormat="false" ht="15" hidden="false" customHeight="false" outlineLevel="0" collapsed="false">
      <c r="A17" s="8" t="s">
        <v>19</v>
      </c>
      <c r="B17" s="11" t="n">
        <v>0</v>
      </c>
      <c r="C17" s="11" t="n">
        <v>0</v>
      </c>
      <c r="D17" s="11" t="n">
        <v>0</v>
      </c>
    </row>
    <row r="18" customFormat="false" ht="15" hidden="false" customHeight="false" outlineLevel="0" collapsed="false">
      <c r="A18" s="13" t="s">
        <v>20</v>
      </c>
      <c r="B18" s="14" t="n">
        <f aca="false">SUM(B11,B14,B15)</f>
        <v>0</v>
      </c>
      <c r="C18" s="14" t="n">
        <f aca="false">SUM(C11,C14,C15)</f>
        <v>0</v>
      </c>
      <c r="D18" s="14" t="n">
        <f aca="false">SUM(D11,D14,D15)</f>
        <v>0</v>
      </c>
    </row>
    <row r="19" customFormat="false" ht="15" hidden="false" customHeight="false" outlineLevel="0" collapsed="false">
      <c r="A19" s="8" t="s">
        <v>21</v>
      </c>
      <c r="B19" s="11"/>
      <c r="C19" s="11"/>
      <c r="D19" s="11" t="n">
        <v>0</v>
      </c>
    </row>
    <row r="20" customFormat="false" ht="15" hidden="false" customHeight="false" outlineLevel="0" collapsed="false">
      <c r="A20" s="8" t="s">
        <v>22</v>
      </c>
      <c r="B20" s="11" t="n">
        <v>0</v>
      </c>
      <c r="C20" s="11" t="n">
        <v>0</v>
      </c>
      <c r="D20" s="11" t="n">
        <v>0</v>
      </c>
    </row>
    <row r="21" customFormat="false" ht="15" hidden="false" customHeight="false" outlineLevel="0" collapsed="false">
      <c r="A21" s="8" t="s">
        <v>23</v>
      </c>
      <c r="B21" s="11"/>
      <c r="C21" s="11"/>
      <c r="D21" s="11" t="n">
        <v>0</v>
      </c>
    </row>
    <row r="22" customFormat="false" ht="15" hidden="false" customHeight="false" outlineLevel="0" collapsed="false">
      <c r="A22" s="8" t="s">
        <v>24</v>
      </c>
      <c r="B22" s="11" t="n">
        <v>0</v>
      </c>
      <c r="C22" s="11" t="n">
        <v>0</v>
      </c>
      <c r="D22" s="11" t="n">
        <v>0</v>
      </c>
    </row>
    <row r="23" customFormat="false" ht="15" hidden="false" customHeight="false" outlineLevel="0" collapsed="false">
      <c r="A23" s="8" t="s">
        <v>25</v>
      </c>
      <c r="B23" s="11"/>
      <c r="C23" s="11"/>
      <c r="D23" s="11" t="n">
        <v>0</v>
      </c>
    </row>
    <row r="24" customFormat="false" ht="15" hidden="false" customHeight="false" outlineLevel="0" collapsed="false">
      <c r="A24" s="13" t="s">
        <v>26</v>
      </c>
      <c r="B24" s="14" t="n">
        <f aca="false">B23-B29</f>
        <v>0</v>
      </c>
      <c r="C24" s="14" t="n">
        <f aca="false">C23-C29</f>
        <v>0</v>
      </c>
      <c r="D24" s="14" t="n">
        <f aca="false">D23-D29</f>
        <v>0</v>
      </c>
    </row>
    <row r="25" customFormat="false" ht="15" hidden="false" customHeight="false" outlineLevel="0" collapsed="false">
      <c r="A25" s="8" t="s">
        <v>27</v>
      </c>
      <c r="B25" s="11" t="n">
        <v>0</v>
      </c>
      <c r="C25" s="11" t="n">
        <v>0</v>
      </c>
      <c r="D25" s="11" t="n">
        <v>0</v>
      </c>
    </row>
    <row r="26" customFormat="false" ht="15" hidden="false" customHeight="false" outlineLevel="0" collapsed="false">
      <c r="A26" s="8" t="s">
        <v>28</v>
      </c>
      <c r="B26" s="11"/>
      <c r="C26" s="11"/>
      <c r="D26" s="11" t="n">
        <v>0</v>
      </c>
    </row>
    <row r="27" customFormat="false" ht="15" hidden="false" customHeight="false" outlineLevel="0" collapsed="false">
      <c r="A27" s="8" t="s">
        <v>29</v>
      </c>
      <c r="B27" s="11" t="n">
        <v>0</v>
      </c>
      <c r="C27" s="11" t="n">
        <v>0</v>
      </c>
      <c r="D27" s="11" t="n">
        <v>0</v>
      </c>
    </row>
    <row r="28" customFormat="false" ht="15" hidden="false" customHeight="false" outlineLevel="0" collapsed="false">
      <c r="A28" s="8" t="s">
        <v>30</v>
      </c>
      <c r="B28" s="11"/>
      <c r="C28" s="11"/>
      <c r="D28" s="11" t="n">
        <v>0</v>
      </c>
    </row>
    <row r="29" customFormat="false" ht="15" hidden="false" customHeight="false" outlineLevel="0" collapsed="false">
      <c r="A29" s="8" t="s">
        <v>31</v>
      </c>
      <c r="B29" s="11" t="n">
        <v>0</v>
      </c>
      <c r="C29" s="11"/>
      <c r="D29" s="11" t="n">
        <v>0</v>
      </c>
    </row>
    <row r="30" customFormat="false" ht="15" hidden="false" customHeight="false" outlineLevel="0" collapsed="false">
      <c r="A30" s="8" t="s">
        <v>32</v>
      </c>
      <c r="B30" s="11" t="n">
        <v>0</v>
      </c>
      <c r="C30" s="11" t="n">
        <v>0</v>
      </c>
      <c r="D30" s="11" t="n">
        <v>0</v>
      </c>
    </row>
    <row r="31" customFormat="false" ht="15" hidden="false" customHeight="false" outlineLevel="0" collapsed="false">
      <c r="A31" s="8" t="s">
        <v>33</v>
      </c>
      <c r="B31" s="11"/>
      <c r="C31" s="11"/>
      <c r="D31" s="11" t="n">
        <v>0</v>
      </c>
    </row>
    <row r="32" customFormat="false" ht="15" hidden="false" customHeight="false" outlineLevel="0" collapsed="false">
      <c r="A32" s="15" t="s">
        <v>34</v>
      </c>
      <c r="B32" s="16" t="n">
        <f aca="false">SUM(B20,B30,B31)</f>
        <v>0</v>
      </c>
      <c r="C32" s="16" t="n">
        <f aca="false">SUM(C20,C30,C31)</f>
        <v>0</v>
      </c>
      <c r="D32" s="16" t="n">
        <f aca="false">SUM(D20,D30,D31)</f>
        <v>0</v>
      </c>
    </row>
    <row r="33" customFormat="false" ht="15" hidden="false" customHeight="false" outlineLevel="0" collapsed="false">
      <c r="A33" s="17"/>
      <c r="B33" s="18"/>
      <c r="C33" s="17"/>
      <c r="D33" s="17"/>
    </row>
    <row r="34" customFormat="false" ht="17.35" hidden="false" customHeight="false" outlineLevel="0" collapsed="false">
      <c r="A34" s="19" t="s">
        <v>35</v>
      </c>
      <c r="B34" s="19"/>
      <c r="C34" s="19"/>
      <c r="D34" s="19"/>
    </row>
    <row r="35" customFormat="false" ht="15" hidden="false" customHeight="false" outlineLevel="0" collapsed="false">
      <c r="A35" s="20" t="s">
        <v>1</v>
      </c>
      <c r="B35" s="4" t="n">
        <v>45747</v>
      </c>
      <c r="C35" s="4" t="n">
        <v>45382</v>
      </c>
      <c r="D35" s="21" t="n">
        <v>44651</v>
      </c>
    </row>
    <row r="36" customFormat="false" ht="15" hidden="false" customHeight="false" outlineLevel="0" collapsed="false">
      <c r="A36" s="22" t="s">
        <v>2</v>
      </c>
      <c r="B36" s="23" t="s">
        <v>4</v>
      </c>
      <c r="C36" s="24" t="s">
        <v>4</v>
      </c>
      <c r="D36" s="24" t="s">
        <v>4</v>
      </c>
    </row>
    <row r="37" customFormat="false" ht="15" hidden="false" customHeight="false" outlineLevel="0" collapsed="false">
      <c r="A37" s="25" t="s">
        <v>36</v>
      </c>
      <c r="B37" s="26"/>
      <c r="C37" s="27"/>
      <c r="D37" s="27"/>
    </row>
    <row r="38" customFormat="false" ht="15" hidden="false" customHeight="false" outlineLevel="0" collapsed="false">
      <c r="A38" s="8" t="s">
        <v>37</v>
      </c>
      <c r="B38" s="28" t="n">
        <v>0</v>
      </c>
      <c r="C38" s="28" t="n">
        <v>0</v>
      </c>
      <c r="D38" s="28" t="n">
        <v>0</v>
      </c>
    </row>
    <row r="39" customFormat="false" ht="15" hidden="false" customHeight="false" outlineLevel="0" collapsed="false">
      <c r="A39" s="8" t="s">
        <v>38</v>
      </c>
      <c r="B39" s="11" t="n">
        <v>0</v>
      </c>
      <c r="C39" s="11" t="n">
        <v>0</v>
      </c>
      <c r="D39" s="11" t="n">
        <v>0</v>
      </c>
    </row>
    <row r="40" customFormat="false" ht="15" hidden="false" customHeight="false" outlineLevel="0" collapsed="false">
      <c r="A40" s="8" t="s">
        <v>39</v>
      </c>
      <c r="B40" s="28"/>
      <c r="C40" s="28"/>
      <c r="D40" s="28" t="n">
        <v>0</v>
      </c>
    </row>
    <row r="41" customFormat="false" ht="15" hidden="false" customHeight="false" outlineLevel="0" collapsed="false">
      <c r="A41" s="29" t="s">
        <v>40</v>
      </c>
      <c r="B41" s="30" t="n">
        <v>0</v>
      </c>
      <c r="C41" s="30" t="n">
        <v>0</v>
      </c>
      <c r="D41" s="30" t="n">
        <v>0</v>
      </c>
    </row>
    <row r="42" customFormat="false" ht="15" hidden="false" customHeight="false" outlineLevel="0" collapsed="false">
      <c r="A42" s="25" t="s">
        <v>41</v>
      </c>
      <c r="B42" s="28"/>
      <c r="C42" s="28"/>
      <c r="D42" s="28" t="n">
        <v>0</v>
      </c>
    </row>
    <row r="43" customFormat="false" ht="15" hidden="false" customHeight="false" outlineLevel="0" collapsed="false">
      <c r="A43" s="8" t="s">
        <v>42</v>
      </c>
      <c r="B43" s="28" t="n">
        <v>0</v>
      </c>
      <c r="C43" s="28" t="n">
        <v>0</v>
      </c>
      <c r="D43" s="28" t="n">
        <v>0</v>
      </c>
    </row>
    <row r="44" customFormat="false" ht="15" hidden="false" customHeight="false" outlineLevel="0" collapsed="false">
      <c r="A44" s="29" t="s">
        <v>43</v>
      </c>
      <c r="B44" s="30" t="n">
        <v>0</v>
      </c>
      <c r="C44" s="30" t="n">
        <v>0</v>
      </c>
      <c r="D44" s="30" t="n">
        <v>0</v>
      </c>
    </row>
    <row r="45" customFormat="false" ht="15" hidden="false" customHeight="false" outlineLevel="0" collapsed="false">
      <c r="A45" s="25" t="s">
        <v>44</v>
      </c>
      <c r="B45" s="26" t="n">
        <v>0</v>
      </c>
      <c r="C45" s="31" t="n">
        <v>0</v>
      </c>
      <c r="D45" s="26" t="n">
        <v>0</v>
      </c>
    </row>
    <row r="46" customFormat="false" ht="15" hidden="false" customHeight="false" outlineLevel="0" collapsed="false">
      <c r="A46" s="8" t="s">
        <v>45</v>
      </c>
      <c r="B46" s="28" t="n">
        <v>0</v>
      </c>
      <c r="C46" s="28" t="n">
        <v>0</v>
      </c>
      <c r="D46" s="28" t="n">
        <v>0</v>
      </c>
    </row>
    <row r="47" customFormat="false" ht="15" hidden="false" customHeight="false" outlineLevel="0" collapsed="false">
      <c r="A47" s="8" t="s">
        <v>46</v>
      </c>
      <c r="B47" s="28" t="n">
        <v>0</v>
      </c>
      <c r="C47" s="28" t="n">
        <v>0</v>
      </c>
      <c r="D47" s="28" t="n">
        <v>0</v>
      </c>
    </row>
    <row r="48" customFormat="false" ht="15" hidden="false" customHeight="false" outlineLevel="0" collapsed="false">
      <c r="A48" s="8" t="s">
        <v>47</v>
      </c>
      <c r="B48" s="28" t="n">
        <v>0</v>
      </c>
      <c r="C48" s="28" t="n">
        <v>0</v>
      </c>
      <c r="D48" s="28" t="n">
        <v>0</v>
      </c>
    </row>
    <row r="49" customFormat="false" ht="15" hidden="false" customHeight="false" outlineLevel="0" collapsed="false">
      <c r="A49" s="29" t="s">
        <v>48</v>
      </c>
      <c r="B49" s="30" t="n">
        <v>0</v>
      </c>
      <c r="C49" s="30" t="n">
        <v>0</v>
      </c>
      <c r="D49" s="30" t="n">
        <v>0</v>
      </c>
    </row>
    <row r="50" customFormat="false" ht="15" hidden="false" customHeight="false" outlineLevel="0" collapsed="false">
      <c r="A50" s="32" t="s">
        <v>49</v>
      </c>
      <c r="B50" s="33" t="n">
        <f aca="false">SUM(B51:B57)</f>
        <v>0</v>
      </c>
      <c r="C50" s="33" t="n">
        <f aca="false">SUM(C51:C57)</f>
        <v>0</v>
      </c>
      <c r="D50" s="33" t="n">
        <f aca="false">SUM(D51:D57)</f>
        <v>0</v>
      </c>
    </row>
    <row r="51" customFormat="false" ht="15" hidden="false" customHeight="false" outlineLevel="0" collapsed="false">
      <c r="A51" s="8" t="s">
        <v>50</v>
      </c>
      <c r="B51" s="28"/>
      <c r="C51" s="28"/>
      <c r="D51" s="28"/>
    </row>
    <row r="52" customFormat="false" ht="15" hidden="false" customHeight="false" outlineLevel="0" collapsed="false">
      <c r="A52" s="8" t="s">
        <v>51</v>
      </c>
      <c r="B52" s="28" t="n">
        <v>0</v>
      </c>
      <c r="C52" s="28" t="n">
        <v>0</v>
      </c>
      <c r="D52" s="28" t="n">
        <v>0</v>
      </c>
    </row>
    <row r="53" customFormat="false" ht="15" hidden="false" customHeight="false" outlineLevel="0" collapsed="false">
      <c r="A53" s="8" t="s">
        <v>52</v>
      </c>
      <c r="B53" s="28" t="n">
        <v>0</v>
      </c>
      <c r="C53" s="28" t="n">
        <v>0</v>
      </c>
      <c r="D53" s="28" t="n">
        <v>0</v>
      </c>
    </row>
    <row r="54" customFormat="false" ht="15" hidden="false" customHeight="false" outlineLevel="0" collapsed="false">
      <c r="A54" s="8" t="s">
        <v>53</v>
      </c>
      <c r="B54" s="28"/>
      <c r="C54" s="26"/>
      <c r="D54" s="28" t="n">
        <v>0</v>
      </c>
    </row>
    <row r="55" customFormat="false" ht="15" hidden="false" customHeight="false" outlineLevel="0" collapsed="false">
      <c r="A55" s="8" t="s">
        <v>54</v>
      </c>
      <c r="B55" s="34" t="n">
        <v>0</v>
      </c>
      <c r="C55" s="34" t="n">
        <v>0</v>
      </c>
      <c r="D55" s="34" t="n">
        <v>0</v>
      </c>
    </row>
    <row r="56" customFormat="false" ht="15" hidden="false" customHeight="false" outlineLevel="0" collapsed="false">
      <c r="A56" s="8" t="s">
        <v>55</v>
      </c>
      <c r="B56" s="34" t="n">
        <v>0</v>
      </c>
      <c r="C56" s="34" t="n">
        <v>0</v>
      </c>
      <c r="D56" s="34" t="n">
        <v>0</v>
      </c>
    </row>
    <row r="57" customFormat="false" ht="15" hidden="false" customHeight="false" outlineLevel="0" collapsed="false">
      <c r="A57" s="29" t="s">
        <v>56</v>
      </c>
      <c r="B57" s="35" t="n">
        <v>0</v>
      </c>
      <c r="C57" s="35" t="n">
        <v>0</v>
      </c>
      <c r="D57" s="35" t="n">
        <v>0</v>
      </c>
    </row>
    <row r="58" customFormat="false" ht="15" hidden="false" customHeight="false" outlineLevel="0" collapsed="false">
      <c r="A58" s="36" t="s">
        <v>57</v>
      </c>
      <c r="B58" s="37" t="n">
        <v>0</v>
      </c>
      <c r="C58" s="37" t="n">
        <v>0</v>
      </c>
      <c r="D58" s="37" t="n">
        <v>0</v>
      </c>
    </row>
    <row r="59" customFormat="false" ht="15" hidden="false" customHeight="false" outlineLevel="0" collapsed="false">
      <c r="A59" s="29" t="s">
        <v>58</v>
      </c>
      <c r="B59" s="30"/>
      <c r="C59" s="30"/>
      <c r="D59" s="30" t="n">
        <v>0</v>
      </c>
    </row>
    <row r="60" customFormat="false" ht="15" hidden="false" customHeight="false" outlineLevel="0" collapsed="false">
      <c r="A60" s="38" t="s">
        <v>59</v>
      </c>
      <c r="B60" s="39"/>
      <c r="C60" s="39"/>
      <c r="D60" s="39" t="n">
        <v>0</v>
      </c>
    </row>
    <row r="61" customFormat="false" ht="15" hidden="false" customHeight="false" outlineLevel="0" collapsed="false">
      <c r="A61" s="17"/>
      <c r="B61" s="18"/>
      <c r="C61" s="17"/>
      <c r="D61" s="17"/>
    </row>
    <row r="62" customFormat="false" ht="17.35" hidden="false" customHeight="false" outlineLevel="0" collapsed="false">
      <c r="A62" s="19" t="s">
        <v>60</v>
      </c>
      <c r="B62" s="19"/>
      <c r="C62" s="19"/>
      <c r="D62" s="19"/>
    </row>
    <row r="63" customFormat="false" ht="15" hidden="false" customHeight="false" outlineLevel="0" collapsed="false">
      <c r="A63" s="40" t="s">
        <v>1</v>
      </c>
      <c r="B63" s="4" t="n">
        <v>45747</v>
      </c>
      <c r="C63" s="4" t="n">
        <v>45382</v>
      </c>
      <c r="D63" s="41" t="n">
        <v>44651</v>
      </c>
    </row>
    <row r="64" customFormat="false" ht="15" hidden="false" customHeight="false" outlineLevel="0" collapsed="false">
      <c r="A64" s="42" t="s">
        <v>2</v>
      </c>
      <c r="B64" s="43" t="s">
        <v>4</v>
      </c>
      <c r="C64" s="24" t="s">
        <v>4</v>
      </c>
      <c r="D64" s="24" t="s">
        <v>4</v>
      </c>
    </row>
    <row r="65" customFormat="false" ht="15" hidden="false" customHeight="true" outlineLevel="0" collapsed="false">
      <c r="A65" s="44" t="s">
        <v>61</v>
      </c>
      <c r="B65" s="44"/>
      <c r="C65" s="44"/>
      <c r="D65" s="44"/>
    </row>
    <row r="66" customFormat="false" ht="15" hidden="false" customHeight="false" outlineLevel="0" collapsed="false">
      <c r="A66" s="45" t="s">
        <v>62</v>
      </c>
      <c r="B66" s="46"/>
      <c r="C66" s="47"/>
      <c r="D66" s="46" t="n">
        <v>0</v>
      </c>
    </row>
    <row r="67" customFormat="false" ht="15" hidden="false" customHeight="false" outlineLevel="0" collapsed="false">
      <c r="A67" s="45" t="s">
        <v>63</v>
      </c>
      <c r="B67" s="46" t="n">
        <v>0</v>
      </c>
      <c r="C67" s="47"/>
      <c r="D67" s="46" t="n">
        <v>0</v>
      </c>
    </row>
    <row r="68" customFormat="false" ht="15" hidden="false" customHeight="false" outlineLevel="0" collapsed="false">
      <c r="A68" s="42" t="s">
        <v>64</v>
      </c>
      <c r="B68" s="48" t="n">
        <v>0</v>
      </c>
      <c r="C68" s="43"/>
      <c r="D68" s="48" t="n">
        <v>0</v>
      </c>
    </row>
    <row r="69" customFormat="false" ht="15" hidden="false" customHeight="false" outlineLevel="0" collapsed="false">
      <c r="A69" s="49" t="s">
        <v>65</v>
      </c>
      <c r="B69" s="50" t="n">
        <v>0</v>
      </c>
      <c r="C69" s="51"/>
      <c r="D69" s="50" t="n">
        <v>0</v>
      </c>
    </row>
    <row r="70" customFormat="false" ht="15" hidden="false" customHeight="false" outlineLevel="0" collapsed="false">
      <c r="A70" s="45" t="s">
        <v>66</v>
      </c>
      <c r="B70" s="46" t="n">
        <v>0</v>
      </c>
      <c r="C70" s="47"/>
      <c r="D70" s="46" t="n">
        <v>0</v>
      </c>
    </row>
    <row r="71" customFormat="false" ht="15" hidden="false" customHeight="false" outlineLevel="0" collapsed="false">
      <c r="A71" s="45" t="s">
        <v>67</v>
      </c>
      <c r="B71" s="46" t="n">
        <v>0</v>
      </c>
      <c r="C71" s="47"/>
      <c r="D71" s="46" t="n">
        <v>0</v>
      </c>
    </row>
    <row r="72" customFormat="false" ht="15" hidden="false" customHeight="false" outlineLevel="0" collapsed="false">
      <c r="A72" s="42" t="s">
        <v>68</v>
      </c>
      <c r="B72" s="48" t="n">
        <v>0</v>
      </c>
      <c r="C72" s="43"/>
      <c r="D72" s="48" t="n">
        <v>0</v>
      </c>
    </row>
    <row r="73" customFormat="false" ht="15" hidden="false" customHeight="false" outlineLevel="0" collapsed="false">
      <c r="A73" s="52" t="s">
        <v>69</v>
      </c>
      <c r="B73" s="53" t="n">
        <v>0</v>
      </c>
      <c r="C73" s="54"/>
      <c r="D73" s="53" t="n">
        <v>0</v>
      </c>
    </row>
    <row r="74" customFormat="false" ht="15" hidden="false" customHeight="false" outlineLevel="0" collapsed="false">
      <c r="A74" s="49" t="s">
        <v>70</v>
      </c>
      <c r="B74" s="50" t="n">
        <v>0</v>
      </c>
      <c r="C74" s="51"/>
      <c r="D74" s="50" t="n">
        <v>0</v>
      </c>
    </row>
    <row r="75" customFormat="false" ht="15" hidden="false" customHeight="false" outlineLevel="0" collapsed="false">
      <c r="A75" s="45" t="s">
        <v>71</v>
      </c>
      <c r="B75" s="46" t="n">
        <v>0</v>
      </c>
      <c r="C75" s="47"/>
      <c r="D75" s="46" t="n">
        <v>0</v>
      </c>
    </row>
    <row r="76" customFormat="false" ht="15" hidden="false" customHeight="false" outlineLevel="0" collapsed="false">
      <c r="A76" s="42" t="s">
        <v>72</v>
      </c>
      <c r="B76" s="48" t="n">
        <v>0</v>
      </c>
      <c r="C76" s="43"/>
      <c r="D76" s="48" t="n">
        <v>0</v>
      </c>
    </row>
    <row r="77" customFormat="false" ht="15" hidden="false" customHeight="false" outlineLevel="0" collapsed="false">
      <c r="A77" s="49" t="s">
        <v>73</v>
      </c>
      <c r="B77" s="50" t="n">
        <v>0</v>
      </c>
      <c r="C77" s="51"/>
      <c r="D77" s="50" t="n">
        <v>0</v>
      </c>
    </row>
    <row r="78" customFormat="false" ht="15" hidden="false" customHeight="false" outlineLevel="0" collapsed="false">
      <c r="A78" s="42" t="s">
        <v>74</v>
      </c>
      <c r="B78" s="48" t="n">
        <v>0</v>
      </c>
      <c r="C78" s="43"/>
      <c r="D78" s="48" t="n">
        <v>0</v>
      </c>
    </row>
    <row r="79" customFormat="false" ht="15" hidden="false" customHeight="false" outlineLevel="0" collapsed="false">
      <c r="A79" s="49" t="s">
        <v>75</v>
      </c>
      <c r="B79" s="50" t="n">
        <v>0</v>
      </c>
      <c r="C79" s="51"/>
      <c r="D79" s="50" t="n">
        <v>0</v>
      </c>
    </row>
    <row r="80" customFormat="false" ht="15" hidden="false" customHeight="false" outlineLevel="0" collapsed="false">
      <c r="A80" s="45" t="s">
        <v>74</v>
      </c>
      <c r="B80" s="46" t="n">
        <v>0</v>
      </c>
      <c r="C80" s="47"/>
      <c r="D80" s="46" t="n">
        <v>0</v>
      </c>
    </row>
    <row r="81" customFormat="false" ht="15" hidden="false" customHeight="false" outlineLevel="0" collapsed="false">
      <c r="A81" s="45" t="s">
        <v>76</v>
      </c>
      <c r="B81" s="46" t="n">
        <v>0</v>
      </c>
      <c r="C81" s="47"/>
      <c r="D81" s="46" t="n">
        <v>0</v>
      </c>
    </row>
    <row r="82" customFormat="false" ht="15" hidden="false" customHeight="false" outlineLevel="0" collapsed="false">
      <c r="A82" s="45" t="s">
        <v>77</v>
      </c>
      <c r="B82" s="46" t="n">
        <v>0</v>
      </c>
      <c r="C82" s="47"/>
      <c r="D82" s="46" t="n">
        <v>0</v>
      </c>
    </row>
    <row r="83" customFormat="false" ht="15" hidden="false" customHeight="false" outlineLevel="0" collapsed="false">
      <c r="A83" s="45" t="s">
        <v>78</v>
      </c>
      <c r="B83" s="46" t="n">
        <v>0</v>
      </c>
      <c r="C83" s="47" t="n">
        <v>0</v>
      </c>
      <c r="D83" s="46" t="n">
        <v>0</v>
      </c>
    </row>
    <row r="84" customFormat="false" ht="15" hidden="false" customHeight="false" outlineLevel="0" collapsed="false">
      <c r="A84" s="45" t="s">
        <v>79</v>
      </c>
      <c r="B84" s="46" t="n">
        <v>0</v>
      </c>
      <c r="C84" s="47" t="n">
        <v>0</v>
      </c>
      <c r="D84" s="46" t="n">
        <v>0</v>
      </c>
    </row>
    <row r="85" customFormat="false" ht="15" hidden="false" customHeight="false" outlineLevel="0" collapsed="false">
      <c r="A85" s="45" t="s">
        <v>80</v>
      </c>
      <c r="B85" s="46" t="n">
        <v>0</v>
      </c>
      <c r="C85" s="47"/>
      <c r="D85" s="46" t="n">
        <v>0</v>
      </c>
    </row>
    <row r="86" customFormat="false" ht="15" hidden="false" customHeight="false" outlineLevel="0" collapsed="false">
      <c r="A86" s="42" t="s">
        <v>81</v>
      </c>
      <c r="B86" s="48" t="n">
        <v>0</v>
      </c>
      <c r="C86" s="43"/>
      <c r="D86" s="48" t="n">
        <v>0</v>
      </c>
    </row>
    <row r="87" customFormat="false" ht="15" hidden="false" customHeight="false" outlineLevel="0" collapsed="false">
      <c r="A87" s="55" t="s">
        <v>82</v>
      </c>
      <c r="B87" s="56" t="n">
        <f aca="false">SUM(B88:B91)</f>
        <v>0</v>
      </c>
      <c r="C87" s="57" t="n">
        <f aca="false">SUM(C88:C91)</f>
        <v>0</v>
      </c>
      <c r="D87" s="56" t="n">
        <f aca="false">SUM(D88:D91)</f>
        <v>0</v>
      </c>
    </row>
    <row r="88" customFormat="false" ht="15" hidden="false" customHeight="false" outlineLevel="0" collapsed="false">
      <c r="A88" s="58" t="s">
        <v>83</v>
      </c>
      <c r="B88" s="59" t="n">
        <v>0</v>
      </c>
      <c r="C88" s="60"/>
      <c r="D88" s="59" t="n">
        <v>0</v>
      </c>
    </row>
    <row r="89" customFormat="false" ht="15" hidden="false" customHeight="false" outlineLevel="0" collapsed="false">
      <c r="A89" s="45" t="s">
        <v>84</v>
      </c>
      <c r="B89" s="61" t="n">
        <v>0</v>
      </c>
      <c r="C89" s="47"/>
      <c r="D89" s="61" t="n">
        <v>0</v>
      </c>
    </row>
    <row r="90" customFormat="false" ht="15" hidden="false" customHeight="false" outlineLevel="0" collapsed="false">
      <c r="A90" s="45" t="s">
        <v>85</v>
      </c>
      <c r="B90" s="62" t="n">
        <v>0</v>
      </c>
      <c r="C90" s="47" t="n">
        <v>0</v>
      </c>
      <c r="D90" s="62" t="n">
        <v>0</v>
      </c>
    </row>
    <row r="91" customFormat="false" ht="15" hidden="false" customHeight="false" outlineLevel="0" collapsed="false">
      <c r="A91" s="42" t="s">
        <v>86</v>
      </c>
      <c r="B91" s="63" t="n">
        <v>0</v>
      </c>
      <c r="C91" s="43"/>
      <c r="D91" s="63" t="n">
        <v>0</v>
      </c>
    </row>
    <row r="92" customFormat="false" ht="15" hidden="false" customHeight="false" outlineLevel="0" collapsed="false">
      <c r="A92" s="40" t="s">
        <v>87</v>
      </c>
      <c r="B92" s="64" t="n">
        <v>0</v>
      </c>
      <c r="C92" s="60" t="n">
        <v>0</v>
      </c>
      <c r="D92" s="64" t="n">
        <v>0</v>
      </c>
    </row>
    <row r="93" customFormat="false" ht="15" hidden="false" customHeight="false" outlineLevel="0" collapsed="false">
      <c r="A93" s="45" t="s">
        <v>88</v>
      </c>
      <c r="B93" s="46" t="n">
        <v>0</v>
      </c>
      <c r="C93" s="47"/>
      <c r="D93" s="46" t="n">
        <v>0</v>
      </c>
    </row>
    <row r="94" customFormat="false" ht="15" hidden="false" customHeight="false" outlineLevel="0" collapsed="false">
      <c r="A94" s="45" t="s">
        <v>89</v>
      </c>
      <c r="B94" s="46" t="n">
        <v>0</v>
      </c>
      <c r="C94" s="47"/>
      <c r="D94" s="46" t="n">
        <v>0</v>
      </c>
    </row>
    <row r="95" customFormat="false" ht="15" hidden="false" customHeight="false" outlineLevel="0" collapsed="false">
      <c r="A95" s="42" t="s">
        <v>90</v>
      </c>
      <c r="B95" s="48" t="n">
        <v>0</v>
      </c>
      <c r="C95" s="43"/>
      <c r="D95" s="48" t="n">
        <v>0</v>
      </c>
    </row>
    <row r="96" customFormat="false" ht="15" hidden="false" customHeight="false" outlineLevel="0" collapsed="false">
      <c r="A96" s="17"/>
      <c r="B96" s="18"/>
      <c r="C96" s="18"/>
      <c r="D96" s="18"/>
    </row>
    <row r="97" customFormat="false" ht="15" hidden="false" customHeight="false" outlineLevel="0" collapsed="false">
      <c r="A97" s="65" t="s">
        <v>91</v>
      </c>
      <c r="B97" s="66" t="n">
        <v>0</v>
      </c>
      <c r="C97" s="66" t="n">
        <v>0</v>
      </c>
      <c r="D97" s="66" t="n">
        <v>0</v>
      </c>
    </row>
    <row r="98" customFormat="false" ht="15" hidden="false" customHeight="false" outlineLevel="0" collapsed="false">
      <c r="A98" s="22" t="s">
        <v>92</v>
      </c>
      <c r="B98" s="67"/>
      <c r="C98" s="67"/>
      <c r="D98" s="67" t="n">
        <v>0</v>
      </c>
    </row>
    <row r="99" customFormat="false" ht="15" hidden="false" customHeight="false" outlineLevel="0" collapsed="false">
      <c r="A99" s="65" t="s">
        <v>93</v>
      </c>
      <c r="B99" s="67" t="n">
        <v>0</v>
      </c>
      <c r="C99" s="67" t="n">
        <v>0</v>
      </c>
      <c r="D99" s="67" t="n">
        <v>0</v>
      </c>
    </row>
    <row r="100" customFormat="false" ht="15" hidden="false" customHeight="false" outlineLevel="0" collapsed="false">
      <c r="A100" s="65" t="s">
        <v>94</v>
      </c>
      <c r="B100" s="68"/>
      <c r="C100" s="68"/>
      <c r="D100" s="68" t="n">
        <v>0</v>
      </c>
    </row>
    <row r="102" customFormat="false" ht="15" hidden="false" customHeight="false" outlineLevel="0" collapsed="false">
      <c r="A102" s="69" t="s">
        <v>95</v>
      </c>
      <c r="B102" s="70"/>
      <c r="C102" s="70"/>
      <c r="D102" s="71"/>
    </row>
    <row r="103" customFormat="false" ht="15" hidden="false" customHeight="false" outlineLevel="0" collapsed="false">
      <c r="A103" s="72" t="s">
        <v>96</v>
      </c>
      <c r="B103" s="73" t="n">
        <f aca="false">IFERROR(B60/B100,0)</f>
        <v>0</v>
      </c>
      <c r="C103" s="73" t="n">
        <f aca="false">IFERROR(C60/C100,0)</f>
        <v>0</v>
      </c>
      <c r="D103" s="73" t="n">
        <f aca="false">IFERROR(D60/D100,0)</f>
        <v>0</v>
      </c>
    </row>
    <row r="104" customFormat="false" ht="15" hidden="false" customHeight="false" outlineLevel="0" collapsed="false">
      <c r="A104" s="72" t="s">
        <v>97</v>
      </c>
      <c r="B104" s="74" t="n">
        <f aca="false">IFERROR(B7/(B59-B98),0)</f>
        <v>0</v>
      </c>
      <c r="C104" s="74" t="n">
        <f aca="false">IFERROR(C7/(C59-C98),0)</f>
        <v>0</v>
      </c>
      <c r="D104" s="74" t="n">
        <f aca="false">IFERROR(D7/(D59-D98),0)</f>
        <v>0</v>
      </c>
    </row>
    <row r="105" customFormat="false" ht="15" hidden="false" customHeight="false" outlineLevel="0" collapsed="false">
      <c r="A105" s="72" t="s">
        <v>98</v>
      </c>
      <c r="B105" s="74" t="n">
        <f aca="false">IFERROR((B50/B7)*365,0)</f>
        <v>0</v>
      </c>
      <c r="C105" s="74" t="n">
        <f aca="false">IFERROR((C50/C7)*365,0)</f>
        <v>0</v>
      </c>
      <c r="D105" s="74" t="n">
        <f aca="false">IFERROR((D50/D7)*365,0)</f>
        <v>0</v>
      </c>
    </row>
    <row r="106" customFormat="false" ht="15" hidden="false" customHeight="false" outlineLevel="0" collapsed="false">
      <c r="A106" s="72" t="s">
        <v>99</v>
      </c>
      <c r="B106" s="74" t="n">
        <f aca="false">IFERROR(((B88+B89)/B18)*365,0)</f>
        <v>0</v>
      </c>
      <c r="C106" s="74" t="n">
        <f aca="false">IFERROR(((C88+C89)/C18)*365,0)</f>
        <v>0</v>
      </c>
      <c r="D106" s="74" t="n">
        <f aca="false">IFERROR(((D88+D89)/D18)*365,0)</f>
        <v>0</v>
      </c>
    </row>
    <row r="107" customFormat="false" ht="15" hidden="false" customHeight="false" outlineLevel="0" collapsed="false">
      <c r="A107" s="72" t="s">
        <v>100</v>
      </c>
      <c r="B107" s="74" t="n">
        <f aca="false">B105-B106</f>
        <v>0</v>
      </c>
      <c r="C107" s="74" t="n">
        <f aca="false">C105-C106</f>
        <v>0</v>
      </c>
      <c r="D107" s="74" t="n">
        <f aca="false">D105-D106</f>
        <v>0</v>
      </c>
    </row>
    <row r="108" customFormat="false" ht="15" hidden="false" customHeight="false" outlineLevel="0" collapsed="false">
      <c r="A108" s="75"/>
      <c r="B108" s="76"/>
      <c r="C108" s="77"/>
      <c r="D108" s="77"/>
    </row>
    <row r="109" customFormat="false" ht="15" hidden="false" customHeight="false" outlineLevel="0" collapsed="false">
      <c r="A109" s="75"/>
      <c r="B109" s="76"/>
      <c r="C109" s="77"/>
      <c r="D109" s="77"/>
    </row>
    <row r="110" customFormat="false" ht="15" hidden="false" customHeight="false" outlineLevel="0" collapsed="false">
      <c r="A110" s="78" t="s">
        <v>101</v>
      </c>
      <c r="B110" s="76"/>
      <c r="C110" s="77"/>
      <c r="D110" s="77"/>
    </row>
    <row r="111" customFormat="false" ht="15" hidden="false" customHeight="false" outlineLevel="0" collapsed="false">
      <c r="A111" s="78" t="s">
        <v>102</v>
      </c>
      <c r="B111" s="76"/>
      <c r="C111" s="77"/>
      <c r="D111" s="77"/>
    </row>
    <row r="113" customFormat="false" ht="15" hidden="false" customHeight="false" outlineLevel="0" collapsed="false">
      <c r="A113" s="79" t="s">
        <v>95</v>
      </c>
      <c r="B113" s="70"/>
      <c r="C113" s="70"/>
      <c r="D113" s="71"/>
    </row>
    <row r="114" customFormat="false" ht="15" hidden="false" customHeight="false" outlineLevel="0" collapsed="false">
      <c r="A114" s="72" t="s">
        <v>103</v>
      </c>
      <c r="B114" s="80" t="n">
        <f aca="false">IFERROR((B77+B87)/B66,0)</f>
        <v>0</v>
      </c>
      <c r="C114" s="81" t="n">
        <f aca="false">IFERROR((C77+C87)/C66,0)</f>
        <v>0</v>
      </c>
      <c r="D114" s="81" t="n">
        <f aca="false">IFERROR((D77+D87)/D66,0)</f>
        <v>0</v>
      </c>
    </row>
    <row r="115" customFormat="false" ht="15" hidden="false" customHeight="false" outlineLevel="0" collapsed="false">
      <c r="A115" s="82" t="s">
        <v>104</v>
      </c>
      <c r="B115" s="80" t="n">
        <f aca="false">IFERROR((B77+B87)+(B88+B89)/B66,0)</f>
        <v>0</v>
      </c>
      <c r="C115" s="81" t="n">
        <f aca="false">IFERROR(((C77+C87)+(C88+C89))/C66,0)</f>
        <v>0</v>
      </c>
      <c r="D115" s="81" t="n">
        <f aca="false">IFERROR(((D77+D87)+(D88+D89))/D66,0)</f>
        <v>0</v>
      </c>
    </row>
    <row r="116" customFormat="false" ht="15" hidden="false" customHeight="false" outlineLevel="0" collapsed="false">
      <c r="A116" s="82" t="s">
        <v>105</v>
      </c>
      <c r="B116" s="80" t="n">
        <f aca="false">IFERROR((B79+B89)/B68,0)</f>
        <v>0</v>
      </c>
      <c r="C116" s="81" t="n">
        <f aca="false">IFERROR((C79+C89)/C68,0)</f>
        <v>0</v>
      </c>
      <c r="D116" s="81" t="n">
        <f aca="false">IFERROR((D79+D89)/D68,0)</f>
        <v>0</v>
      </c>
    </row>
    <row r="117" customFormat="false" ht="15" hidden="false" customHeight="false" outlineLevel="0" collapsed="false">
      <c r="A117" s="72" t="s">
        <v>106</v>
      </c>
      <c r="B117" s="80" t="n">
        <f aca="false">B115</f>
        <v>0</v>
      </c>
      <c r="C117" s="81" t="n">
        <f aca="false">C115</f>
        <v>0</v>
      </c>
      <c r="D117" s="81" t="n">
        <f aca="false">D115</f>
        <v>0</v>
      </c>
    </row>
    <row r="118" customFormat="false" ht="15" hidden="false" customHeight="false" outlineLevel="0" collapsed="false">
      <c r="A118" s="72" t="s">
        <v>107</v>
      </c>
      <c r="B118" s="80" t="n">
        <f aca="false">IFERROR(B22/(B77+B87),0)</f>
        <v>0</v>
      </c>
      <c r="C118" s="81" t="n">
        <f aca="false">IFERROR(C22/(C77+C87),0)</f>
        <v>0</v>
      </c>
      <c r="D118" s="81" t="n">
        <f aca="false">IFERROR(D22/(D77+D87),0)</f>
        <v>0</v>
      </c>
    </row>
    <row r="119" customFormat="false" ht="15" hidden="false" customHeight="false" outlineLevel="0" collapsed="false">
      <c r="A119" s="72" t="s">
        <v>108</v>
      </c>
      <c r="B119" s="80" t="n">
        <f aca="false">IFERROR(B99/B74,0)</f>
        <v>0</v>
      </c>
      <c r="C119" s="81" t="n">
        <f aca="false">IFERROR(C99/C74,0)</f>
        <v>0</v>
      </c>
      <c r="D119" s="81" t="n">
        <f aca="false">IFERROR(D99/D74,0)</f>
        <v>0</v>
      </c>
    </row>
    <row r="121" customFormat="false" ht="17.35" hidden="false" customHeight="false" outlineLevel="0" collapsed="false">
      <c r="A121" s="83" t="s">
        <v>109</v>
      </c>
      <c r="B121" s="83"/>
      <c r="C121" s="83"/>
      <c r="D121" s="83"/>
    </row>
    <row r="122" customFormat="false" ht="15" hidden="false" customHeight="false" outlineLevel="0" collapsed="false">
      <c r="A122" s="84" t="s">
        <v>1</v>
      </c>
      <c r="B122" s="70"/>
      <c r="C122" s="70"/>
      <c r="D122" s="71"/>
    </row>
    <row r="123" customFormat="false" ht="15" hidden="false" customHeight="false" outlineLevel="0" collapsed="false">
      <c r="A123" s="85" t="s">
        <v>2</v>
      </c>
      <c r="B123" s="86"/>
      <c r="C123" s="87"/>
      <c r="D123" s="87"/>
    </row>
    <row r="124" customFormat="false" ht="15" hidden="false" customHeight="true" outlineLevel="0" collapsed="false">
      <c r="A124" s="88" t="s">
        <v>110</v>
      </c>
      <c r="B124" s="88"/>
      <c r="C124" s="88"/>
      <c r="D124" s="88"/>
    </row>
    <row r="125" customFormat="false" ht="15" hidden="false" customHeight="true" outlineLevel="0" collapsed="false">
      <c r="A125" s="89" t="s">
        <v>111</v>
      </c>
      <c r="B125" s="89"/>
      <c r="C125" s="89"/>
      <c r="D125" s="89"/>
    </row>
    <row r="126" customFormat="false" ht="15" hidden="false" customHeight="false" outlineLevel="0" collapsed="false">
      <c r="A126" s="90" t="s">
        <v>112</v>
      </c>
      <c r="B126" s="91" t="e">
        <f aca="false">(B7-C7)/C7*100</f>
        <v>#DIV/0!</v>
      </c>
      <c r="C126" s="91" t="e">
        <f aca="false">(C7-D7)/D7*100</f>
        <v>#DIV/0!</v>
      </c>
      <c r="D126" s="92" t="e">
        <f aca="false">(D7-E7)/E7*100</f>
        <v>#DIV/0!</v>
      </c>
    </row>
    <row r="127" customFormat="false" ht="15" hidden="false" customHeight="false" outlineLevel="0" collapsed="false">
      <c r="A127" s="90" t="s">
        <v>113</v>
      </c>
      <c r="B127" s="93" t="e">
        <f aca="false">(B9-C9)/C9*100</f>
        <v>#DIV/0!</v>
      </c>
      <c r="C127" s="93" t="e">
        <f aca="false">(C9-D9)/D9*100</f>
        <v>#DIV/0!</v>
      </c>
      <c r="D127" s="94" t="e">
        <f aca="false">(D9-E9)/E9*100</f>
        <v>#DIV/0!</v>
      </c>
    </row>
    <row r="128" customFormat="false" ht="15" hidden="false" customHeight="false" outlineLevel="0" collapsed="false">
      <c r="A128" s="90" t="s">
        <v>114</v>
      </c>
      <c r="B128" s="95" t="e">
        <f aca="false">(B19-C19)/C19*100</f>
        <v>#DIV/0!</v>
      </c>
      <c r="C128" s="95" t="e">
        <f aca="false">(C19-D19)/D19*100</f>
        <v>#DIV/0!</v>
      </c>
      <c r="D128" s="96" t="e">
        <f aca="false">(D19-E19)/E19*100</f>
        <v>#DIV/0!</v>
      </c>
    </row>
    <row r="129" customFormat="false" ht="15" hidden="false" customHeight="false" outlineLevel="0" collapsed="false">
      <c r="A129" s="90" t="s">
        <v>115</v>
      </c>
      <c r="B129" s="93" t="e">
        <f aca="false">(B31-C31)/C31*100</f>
        <v>#DIV/0!</v>
      </c>
      <c r="C129" s="93" t="e">
        <f aca="false">(C31-D31)/D31*100</f>
        <v>#DIV/0!</v>
      </c>
      <c r="D129" s="94" t="e">
        <f aca="false">(D31-E31)/E31*100</f>
        <v>#DIV/0!</v>
      </c>
    </row>
    <row r="130" customFormat="false" ht="22.5" hidden="false" customHeight="true" outlineLevel="0" collapsed="false">
      <c r="A130" s="97" t="s">
        <v>116</v>
      </c>
      <c r="B130" s="97"/>
      <c r="C130" s="97"/>
      <c r="D130" s="97"/>
    </row>
    <row r="131" customFormat="false" ht="15" hidden="false" customHeight="false" outlineLevel="0" collapsed="false">
      <c r="A131" s="98" t="s">
        <v>117</v>
      </c>
      <c r="B131" s="99" t="n">
        <f aca="false">IFERROR(((B7-B11)/B7)*100,0)</f>
        <v>0</v>
      </c>
      <c r="C131" s="99" t="n">
        <f aca="false">IFERROR(((C7-C11)/C7)*100,0)</f>
        <v>0</v>
      </c>
      <c r="D131" s="99" t="n">
        <f aca="false">IFERROR(((D7-D11)/D7)*100,0)</f>
        <v>0</v>
      </c>
    </row>
    <row r="132" customFormat="false" ht="15" hidden="false" customHeight="false" outlineLevel="0" collapsed="false">
      <c r="A132" s="98" t="s">
        <v>118</v>
      </c>
      <c r="B132" s="99" t="n">
        <f aca="false">IFERROR((B19/B9)*100,0)</f>
        <v>0</v>
      </c>
      <c r="C132" s="99" t="n">
        <f aca="false">IFERROR((C19/C9)*100,0)</f>
        <v>0</v>
      </c>
      <c r="D132" s="99" t="n">
        <f aca="false">IFERROR((D19/D9)*100,0)</f>
        <v>0</v>
      </c>
    </row>
    <row r="133" customFormat="false" ht="15" hidden="false" customHeight="false" outlineLevel="0" collapsed="false">
      <c r="A133" s="98" t="s">
        <v>119</v>
      </c>
      <c r="B133" s="99" t="n">
        <f aca="false">IFERROR((B21/B9)*100,0)</f>
        <v>0</v>
      </c>
      <c r="C133" s="99" t="n">
        <f aca="false">IFERROR((C21/C9)*100,0)</f>
        <v>0</v>
      </c>
      <c r="D133" s="99" t="n">
        <f aca="false">IFERROR((D21/D9)*100,0)</f>
        <v>0</v>
      </c>
    </row>
    <row r="134" customFormat="false" ht="15" hidden="false" customHeight="false" outlineLevel="0" collapsed="false">
      <c r="A134" s="98" t="s">
        <v>120</v>
      </c>
      <c r="B134" s="99" t="n">
        <f aca="false">IFERROR((B23/B9)*100,0)</f>
        <v>0</v>
      </c>
      <c r="C134" s="99" t="n">
        <f aca="false">IFERROR((C23/C9)*100,0)</f>
        <v>0</v>
      </c>
      <c r="D134" s="99" t="n">
        <f aca="false">IFERROR((D23/D9)*100,0)</f>
        <v>0</v>
      </c>
    </row>
    <row r="135" customFormat="false" ht="15" hidden="false" customHeight="false" outlineLevel="0" collapsed="false">
      <c r="A135" s="98" t="s">
        <v>121</v>
      </c>
      <c r="B135" s="99" t="n">
        <f aca="false">IFERROR((B24/B9)*100,0)</f>
        <v>0</v>
      </c>
      <c r="C135" s="99" t="n">
        <f aca="false">IFERROR((C24/C9)*100,0)</f>
        <v>0</v>
      </c>
      <c r="D135" s="99" t="n">
        <f aca="false">IFERROR((D24/D9)*100,0)</f>
        <v>0</v>
      </c>
    </row>
    <row r="136" customFormat="false" ht="15" hidden="false" customHeight="false" outlineLevel="0" collapsed="false">
      <c r="A136" s="98" t="s">
        <v>122</v>
      </c>
      <c r="B136" s="100" t="n">
        <f aca="false">IFERROR((B31/B9)*100,0)</f>
        <v>0</v>
      </c>
      <c r="C136" s="100" t="n">
        <f aca="false">IFERROR((C31/C9)*100,0)</f>
        <v>0</v>
      </c>
      <c r="D136" s="100" t="n">
        <f aca="false">IFERROR((D31/D9)*100,0)</f>
        <v>0</v>
      </c>
    </row>
    <row r="137" customFormat="false" ht="15" hidden="false" customHeight="false" outlineLevel="0" collapsed="false">
      <c r="A137" s="72" t="s">
        <v>123</v>
      </c>
      <c r="B137" s="95" t="n">
        <f aca="false">IFERROR((B21/(B42+(B60-B100))*100),0)</f>
        <v>0</v>
      </c>
      <c r="C137" s="95" t="n">
        <f aca="false">IFERROR((C21/(C42+(C60-C100))*100),0)</f>
        <v>0</v>
      </c>
      <c r="D137" s="95" t="n">
        <f aca="false">IFERROR((D21/(D42+(D60-D100))*100),0)</f>
        <v>0</v>
      </c>
    </row>
    <row r="138" customFormat="false" ht="15" hidden="false" customHeight="false" outlineLevel="0" collapsed="false">
      <c r="A138" s="98" t="s">
        <v>124</v>
      </c>
      <c r="B138" s="99" t="n">
        <f aca="false">IFERROR((B21/B60)*100,0)</f>
        <v>0</v>
      </c>
      <c r="C138" s="99" t="n">
        <f aca="false">IFERROR((C21/C60)*100,0)</f>
        <v>0</v>
      </c>
      <c r="D138" s="99" t="n">
        <f aca="false">IFERROR((D21/D60)*100,0)</f>
        <v>0</v>
      </c>
    </row>
    <row r="139" customFormat="false" ht="15" hidden="false" customHeight="false" outlineLevel="0" collapsed="false">
      <c r="A139" s="98" t="s">
        <v>125</v>
      </c>
      <c r="B139" s="99"/>
      <c r="C139" s="99"/>
      <c r="D139" s="99"/>
    </row>
    <row r="140" customFormat="false" ht="15" hidden="false" customHeight="false" outlineLevel="0" collapsed="false">
      <c r="A140" s="98" t="s">
        <v>107</v>
      </c>
      <c r="B140" s="99" t="n">
        <f aca="false">IFERROR((B22/(B77+B87))*100,0)</f>
        <v>0</v>
      </c>
      <c r="C140" s="99" t="n">
        <f aca="false">IFERROR((C22/(C77+C87))*100,0)</f>
        <v>0</v>
      </c>
      <c r="D140" s="99" t="n">
        <f aca="false">IFERROR((D22/(D77+D87))*100,0)</f>
        <v>0</v>
      </c>
    </row>
    <row r="141" customFormat="false" ht="23.25" hidden="false" customHeight="true" outlineLevel="0" collapsed="false">
      <c r="A141" s="101" t="s">
        <v>126</v>
      </c>
      <c r="B141" s="101"/>
      <c r="C141" s="101"/>
      <c r="D141" s="101"/>
    </row>
    <row r="142" customFormat="false" ht="15" hidden="false" customHeight="false" outlineLevel="0" collapsed="false">
      <c r="A142" s="98" t="s">
        <v>127</v>
      </c>
      <c r="B142" s="99" t="n">
        <f aca="false">IFERROR(B7/(B60-B100),0)</f>
        <v>0</v>
      </c>
      <c r="C142" s="99" t="e">
        <f aca="false">C7/C9</f>
        <v>#DIV/0!</v>
      </c>
      <c r="D142" s="102" t="e">
        <f aca="false">D7/D9</f>
        <v>#DIV/0!</v>
      </c>
    </row>
    <row r="143" customFormat="false" ht="15" hidden="false" customHeight="false" outlineLevel="0" collapsed="false">
      <c r="A143" s="98" t="s">
        <v>128</v>
      </c>
      <c r="B143" s="99" t="n">
        <f aca="false">IFERROR(B7/B42,0)</f>
        <v>0</v>
      </c>
      <c r="C143" s="99" t="n">
        <f aca="false">IFERROR(C7/C42,0)</f>
        <v>0</v>
      </c>
      <c r="D143" s="103" t="n">
        <f aca="false">IFERROR(D7/D42,0)</f>
        <v>0</v>
      </c>
    </row>
    <row r="144" customFormat="false" ht="15" hidden="false" customHeight="false" outlineLevel="0" collapsed="false">
      <c r="A144" s="98" t="s">
        <v>97</v>
      </c>
      <c r="B144" s="99" t="n">
        <f aca="false">IFERROR(B7/(B60-B100),0)</f>
        <v>0</v>
      </c>
      <c r="C144" s="74" t="n">
        <f aca="false">IFERROR(C7/(C59-C98),0)</f>
        <v>0</v>
      </c>
      <c r="D144" s="81" t="n">
        <f aca="false">IFERROR(D7/(D59-D98),0)</f>
        <v>0</v>
      </c>
    </row>
    <row r="145" customFormat="false" ht="15" hidden="false" customHeight="false" outlineLevel="0" collapsed="false">
      <c r="A145" s="98" t="s">
        <v>98</v>
      </c>
      <c r="B145" s="99" t="n">
        <f aca="false">IFERROR((B50/B7)*365,0)</f>
        <v>0</v>
      </c>
      <c r="C145" s="99" t="n">
        <f aca="false">IFERROR((C50/C7)*365,0)</f>
        <v>0</v>
      </c>
      <c r="D145" s="102" t="n">
        <f aca="false">IFERROR((D50/D7)*365,0)</f>
        <v>0</v>
      </c>
    </row>
    <row r="146" customFormat="false" ht="15" hidden="false" customHeight="false" outlineLevel="0" collapsed="false">
      <c r="A146" s="98" t="s">
        <v>99</v>
      </c>
      <c r="B146" s="99" t="n">
        <f aca="false">IFERROR((B88/B11)*365,0)</f>
        <v>0</v>
      </c>
      <c r="C146" s="99" t="n">
        <f aca="false">IFERROR((C88/C11)*365,0)</f>
        <v>0</v>
      </c>
      <c r="D146" s="102" t="n">
        <f aca="false">IFERROR((D88/D11)*365,0)</f>
        <v>0</v>
      </c>
    </row>
    <row r="147" customFormat="false" ht="15" hidden="false" customHeight="false" outlineLevel="0" collapsed="false">
      <c r="A147" s="98" t="s">
        <v>129</v>
      </c>
      <c r="B147" s="99" t="n">
        <f aca="false">B145-B146</f>
        <v>0</v>
      </c>
      <c r="C147" s="99" t="n">
        <f aca="false">C145-C146</f>
        <v>0</v>
      </c>
      <c r="D147" s="102" t="n">
        <f aca="false">D145-D146</f>
        <v>0</v>
      </c>
    </row>
    <row r="148" customFormat="false" ht="28.5" hidden="false" customHeight="true" outlineLevel="0" collapsed="false">
      <c r="A148" s="101" t="s">
        <v>130</v>
      </c>
      <c r="B148" s="101"/>
      <c r="C148" s="101"/>
      <c r="D148" s="101"/>
    </row>
    <row r="149" customFormat="false" ht="15" hidden="false" customHeight="false" outlineLevel="0" collapsed="false">
      <c r="A149" s="98" t="s">
        <v>103</v>
      </c>
      <c r="B149" s="103" t="n">
        <f aca="false">B114</f>
        <v>0</v>
      </c>
      <c r="C149" s="102" t="n">
        <f aca="false">C114</f>
        <v>0</v>
      </c>
      <c r="D149" s="102" t="n">
        <f aca="false">D114</f>
        <v>0</v>
      </c>
    </row>
    <row r="150" customFormat="false" ht="15" hidden="false" customHeight="false" outlineLevel="0" collapsed="false">
      <c r="A150" s="98" t="s">
        <v>104</v>
      </c>
      <c r="B150" s="103" t="n">
        <f aca="false">B115</f>
        <v>0</v>
      </c>
      <c r="C150" s="102" t="n">
        <f aca="false">C115</f>
        <v>0</v>
      </c>
      <c r="D150" s="102" t="n">
        <f aca="false">D115</f>
        <v>0</v>
      </c>
    </row>
    <row r="151" customFormat="false" ht="15" hidden="false" customHeight="false" outlineLevel="0" collapsed="false">
      <c r="A151" s="98" t="s">
        <v>131</v>
      </c>
      <c r="B151" s="103" t="n">
        <f aca="false">B149</f>
        <v>0</v>
      </c>
      <c r="C151" s="102" t="n">
        <f aca="false">C149</f>
        <v>0</v>
      </c>
      <c r="D151" s="102" t="n">
        <f aca="false">D149</f>
        <v>0</v>
      </c>
    </row>
    <row r="152" customFormat="false" ht="15" hidden="false" customHeight="false" outlineLevel="0" collapsed="false">
      <c r="A152" s="98" t="s">
        <v>106</v>
      </c>
      <c r="B152" s="103" t="n">
        <f aca="false">B117</f>
        <v>0</v>
      </c>
      <c r="C152" s="102" t="n">
        <f aca="false">C117</f>
        <v>0</v>
      </c>
      <c r="D152" s="102" t="n">
        <f aca="false">D117</f>
        <v>0</v>
      </c>
    </row>
    <row r="153" customFormat="false" ht="15" hidden="false" customHeight="false" outlineLevel="0" collapsed="false">
      <c r="A153" s="98" t="s">
        <v>132</v>
      </c>
      <c r="B153" s="103" t="n">
        <f aca="false">IFERROR((B77+B87)/B32,0)</f>
        <v>0</v>
      </c>
      <c r="C153" s="99" t="n">
        <f aca="false">IFERROR((C77+C87)/C32,0)</f>
        <v>0</v>
      </c>
      <c r="D153" s="99" t="n">
        <f aca="false">IFERROR((D77+D87)/D32,0)</f>
        <v>0</v>
      </c>
    </row>
    <row r="154" customFormat="false" ht="15" hidden="false" customHeight="false" outlineLevel="0" collapsed="false">
      <c r="A154" s="98" t="s">
        <v>133</v>
      </c>
      <c r="B154" s="103" t="n">
        <f aca="false">IFERROR((B77+B79+B87)/B32,0)</f>
        <v>0</v>
      </c>
      <c r="C154" s="99" t="n">
        <f aca="false">IFERROR((C77+C79+C87)/C32,0)</f>
        <v>0</v>
      </c>
      <c r="D154" s="99" t="n">
        <f aca="false">IFERROR((D77+D79+D87)/D32,0)</f>
        <v>0</v>
      </c>
    </row>
    <row r="155" customFormat="false" ht="15" hidden="false" customHeight="false" outlineLevel="0" collapsed="false">
      <c r="A155" s="98" t="s">
        <v>134</v>
      </c>
      <c r="B155" s="103" t="n">
        <f aca="false">IFERROR(B19/B22,0)</f>
        <v>0</v>
      </c>
      <c r="C155" s="99" t="n">
        <f aca="false">IFERROR(C19/C22,0)</f>
        <v>0</v>
      </c>
      <c r="D155" s="99" t="n">
        <f aca="false">IFERROR(D19/D22,0)</f>
        <v>0</v>
      </c>
    </row>
    <row r="156" customFormat="false" ht="15" hidden="false" customHeight="false" outlineLevel="0" collapsed="false">
      <c r="A156" s="98" t="s">
        <v>135</v>
      </c>
      <c r="B156" s="103" t="n">
        <f aca="false">IFERROR(B21/B22,0)</f>
        <v>0</v>
      </c>
      <c r="C156" s="99" t="n">
        <f aca="false">IFERROR(C21/C22,0)</f>
        <v>0</v>
      </c>
      <c r="D156" s="99" t="n">
        <f aca="false">IFERROR(D21/D22,0)</f>
        <v>0</v>
      </c>
    </row>
    <row r="157" customFormat="false" ht="15" hidden="false" customHeight="false" outlineLevel="0" collapsed="false">
      <c r="A157" s="98" t="s">
        <v>136</v>
      </c>
      <c r="B157" s="103" t="n">
        <f aca="false">B155</f>
        <v>0</v>
      </c>
      <c r="C157" s="99" t="n">
        <f aca="false">C155</f>
        <v>0</v>
      </c>
      <c r="D157" s="99" t="n">
        <f aca="false">D155</f>
        <v>0</v>
      </c>
    </row>
  </sheetData>
  <mergeCells count="10">
    <mergeCell ref="A2:D2"/>
    <mergeCell ref="A34:D34"/>
    <mergeCell ref="A62:D62"/>
    <mergeCell ref="A65:D65"/>
    <mergeCell ref="A121:D121"/>
    <mergeCell ref="A124:D124"/>
    <mergeCell ref="A125:D125"/>
    <mergeCell ref="A130:D130"/>
    <mergeCell ref="A141:D141"/>
    <mergeCell ref="A148:D1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2024-05-23T04:44:37Z</dcterms:created>
  <dc:creator>MANISH SHUKLA</dc:creator>
  <dc:description/>
  <dc:language>en-US</dc:language>
  <cp:lastModifiedBy/>
  <dcterms:modified xsi:type="dcterms:W3CDTF">2026-02-21T16:56:20Z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