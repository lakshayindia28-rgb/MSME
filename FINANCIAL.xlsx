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rsha sonawane\VARSHA SONAWANE\VARSHA SONAWANE\BOM PUNE\2026\MARCH- 26\17-03-2026\"/>
    </mc:Choice>
  </mc:AlternateContent>
  <bookViews>
    <workbookView xWindow="0" yWindow="0" windowWidth="7470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1" l="1"/>
  <c r="C134" i="1"/>
  <c r="C89" i="1" l="1"/>
  <c r="D105" i="1"/>
  <c r="C105" i="1"/>
  <c r="B105" i="1"/>
  <c r="D101" i="1"/>
  <c r="C101" i="1"/>
  <c r="B101" i="1"/>
  <c r="D96" i="1"/>
  <c r="C96" i="1"/>
  <c r="B96" i="1"/>
  <c r="D85" i="1"/>
  <c r="D89" i="1" s="1"/>
  <c r="C85" i="1"/>
  <c r="B85" i="1"/>
  <c r="B89" i="1" s="1"/>
  <c r="D77" i="1"/>
  <c r="D81" i="1" s="1"/>
  <c r="D82" i="1" s="1"/>
  <c r="D122" i="1" s="1"/>
  <c r="C77" i="1"/>
  <c r="C81" i="1" s="1"/>
  <c r="C82" i="1" s="1"/>
  <c r="B77" i="1"/>
  <c r="B81" i="1" s="1"/>
  <c r="B82" i="1" s="1"/>
  <c r="D49" i="1"/>
  <c r="C49" i="1"/>
  <c r="D107" i="1" l="1"/>
  <c r="C148" i="1"/>
  <c r="D108" i="1"/>
  <c r="B122" i="1"/>
  <c r="D106" i="1"/>
  <c r="C126" i="1"/>
  <c r="C106" i="1"/>
  <c r="C122" i="1"/>
  <c r="C157" i="1" s="1"/>
  <c r="C123" i="1"/>
  <c r="C124" i="1"/>
  <c r="B123" i="1"/>
  <c r="B124" i="1"/>
  <c r="C108" i="1"/>
  <c r="B107" i="1"/>
  <c r="B125" i="1" s="1"/>
  <c r="B106" i="1"/>
  <c r="B108" i="1"/>
  <c r="C107" i="1"/>
  <c r="C125" i="1" s="1"/>
  <c r="B49" i="1"/>
  <c r="D54" i="1"/>
  <c r="D150" i="1" s="1"/>
  <c r="C54" i="1"/>
  <c r="B54" i="1"/>
  <c r="C41" i="1"/>
  <c r="C43" i="1" s="1"/>
  <c r="C151" i="1" s="1"/>
  <c r="D41" i="1"/>
  <c r="D43" i="1" s="1"/>
  <c r="B41" i="1"/>
  <c r="B43" i="1" s="1"/>
  <c r="B151" i="1" s="1"/>
  <c r="D18" i="1"/>
  <c r="C18" i="1"/>
  <c r="B18" i="1"/>
  <c r="D9" i="1"/>
  <c r="C9" i="1"/>
  <c r="C135" i="1" s="1"/>
  <c r="B9" i="1"/>
  <c r="C127" i="1" l="1"/>
  <c r="C153" i="1"/>
  <c r="C150" i="1"/>
  <c r="C113" i="1"/>
  <c r="B65" i="1"/>
  <c r="B152" i="1" s="1"/>
  <c r="B153" i="1"/>
  <c r="B150" i="1"/>
  <c r="B113" i="1"/>
  <c r="B114" i="1"/>
  <c r="B154" i="1"/>
  <c r="C114" i="1"/>
  <c r="C154" i="1"/>
  <c r="D64" i="1"/>
  <c r="D65" i="1"/>
  <c r="C64" i="1"/>
  <c r="C65" i="1"/>
  <c r="C152" i="1" s="1"/>
  <c r="B64" i="1"/>
  <c r="C19" i="1"/>
  <c r="D19" i="1"/>
  <c r="D21" i="1" s="1"/>
  <c r="D23" i="1" s="1"/>
  <c r="D25" i="1" s="1"/>
  <c r="D27" i="1" s="1"/>
  <c r="D31" i="1" s="1"/>
  <c r="B19" i="1"/>
  <c r="C115" i="1" l="1"/>
  <c r="D66" i="1"/>
  <c r="D111" i="1"/>
  <c r="C66" i="1"/>
  <c r="C111" i="1"/>
  <c r="B115" i="1"/>
  <c r="B66" i="1"/>
  <c r="B111" i="1"/>
  <c r="B21" i="1"/>
  <c r="B139" i="1"/>
  <c r="B140" i="1"/>
  <c r="C21" i="1"/>
  <c r="C139" i="1"/>
  <c r="B112" i="1"/>
  <c r="D32" i="1"/>
  <c r="B23" i="1" l="1"/>
  <c r="B25" i="1" s="1"/>
  <c r="B27" i="1" s="1"/>
  <c r="B31" i="1" s="1"/>
  <c r="B146" i="1"/>
  <c r="B145" i="1"/>
  <c r="B141" i="1"/>
  <c r="C23" i="1"/>
  <c r="C25" i="1" s="1"/>
  <c r="C27" i="1" s="1"/>
  <c r="C31" i="1" s="1"/>
  <c r="C141" i="1"/>
  <c r="C146" i="1"/>
  <c r="C145" i="1"/>
  <c r="D134" i="1"/>
  <c r="D137" i="1"/>
  <c r="D136" i="1"/>
  <c r="B32" i="1" l="1"/>
  <c r="B147" i="1"/>
  <c r="B144" i="1"/>
  <c r="B143" i="1"/>
  <c r="C32" i="1"/>
  <c r="C143" i="1"/>
  <c r="C147" i="1"/>
  <c r="C144" i="1"/>
  <c r="C137" i="1"/>
  <c r="C136" i="1"/>
  <c r="D152" i="1"/>
  <c r="D112" i="1"/>
  <c r="C112" i="1"/>
  <c r="D164" i="1" l="1"/>
  <c r="C164" i="1"/>
  <c r="D163" i="1"/>
  <c r="C163" i="1"/>
  <c r="D162" i="1"/>
  <c r="C162" i="1"/>
  <c r="D161" i="1"/>
  <c r="C161" i="1"/>
  <c r="D154" i="1"/>
  <c r="D153" i="1"/>
  <c r="D151" i="1"/>
  <c r="D148" i="1"/>
  <c r="C140" i="1"/>
  <c r="D139" i="1"/>
  <c r="D127" i="1"/>
  <c r="B127" i="1"/>
  <c r="D126" i="1"/>
  <c r="D114" i="1"/>
  <c r="D113" i="1"/>
  <c r="D135" i="1"/>
  <c r="D142" i="1" l="1"/>
  <c r="D141" i="1"/>
  <c r="D140" i="1"/>
  <c r="D144" i="1"/>
  <c r="C142" i="1"/>
  <c r="D143" i="1"/>
  <c r="D165" i="1"/>
  <c r="C165" i="1"/>
  <c r="B157" i="1"/>
  <c r="B159" i="1" s="1"/>
  <c r="D158" i="1"/>
  <c r="C158" i="1"/>
  <c r="B158" i="1"/>
  <c r="D157" i="1"/>
  <c r="D159" i="1" s="1"/>
  <c r="C159" i="1"/>
  <c r="D115" i="1" l="1"/>
  <c r="B160" i="1"/>
  <c r="D155" i="1"/>
  <c r="D160" i="1"/>
  <c r="C160" i="1"/>
  <c r="C155" i="1"/>
  <c r="B137" i="1" l="1"/>
  <c r="B142" i="1"/>
  <c r="B134" i="1"/>
  <c r="B161" i="1"/>
  <c r="B162" i="1"/>
  <c r="B135" i="1"/>
  <c r="B148" i="1"/>
  <c r="B126" i="1"/>
  <c r="B136" i="1"/>
  <c r="B163" i="1"/>
  <c r="B165" i="1" s="1"/>
  <c r="B164" i="1"/>
  <c r="B155" i="1" l="1"/>
  <c r="D145" i="1" l="1"/>
  <c r="D146" i="1" l="1"/>
</calcChain>
</file>

<file path=xl/sharedStrings.xml><?xml version="1.0" encoding="utf-8"?>
<sst xmlns="http://schemas.openxmlformats.org/spreadsheetml/2006/main" count="178" uniqueCount="145">
  <si>
    <t>Period Ends on:</t>
  </si>
  <si>
    <t>Result Type:</t>
  </si>
  <si>
    <t>Auditor Qualification:</t>
  </si>
  <si>
    <t>No. of months in current financial year</t>
  </si>
  <si>
    <t>Net Sales</t>
  </si>
  <si>
    <t>Other Income (related to operations)</t>
  </si>
  <si>
    <t>Total Operating Income</t>
  </si>
  <si>
    <t>Handling Costs</t>
  </si>
  <si>
    <t>Cost of Traded Goods Sale</t>
  </si>
  <si>
    <t>Consumable Stores</t>
  </si>
  <si>
    <t>Power and Fuel</t>
  </si>
  <si>
    <t>Other Expenses</t>
  </si>
  <si>
    <t>Selling Expenses</t>
  </si>
  <si>
    <t>Other related Expenses</t>
  </si>
  <si>
    <t>Cost of Sales</t>
  </si>
  <si>
    <t>PBILDT</t>
  </si>
  <si>
    <t>Depreciation</t>
  </si>
  <si>
    <t>PBIT</t>
  </si>
  <si>
    <t>Interest and Finance Charges</t>
  </si>
  <si>
    <t>Operating Profit Before Tax  (OPBT)</t>
  </si>
  <si>
    <t>Non-Operating Income / (Expense)</t>
  </si>
  <si>
    <t>Profit Before Tax (PBT)</t>
  </si>
  <si>
    <t>Cash Adjustments</t>
  </si>
  <si>
    <t>Provision for Deferred Tax</t>
  </si>
  <si>
    <t>Gross Cash Accruals</t>
  </si>
  <si>
    <t>Profitability Statement</t>
  </si>
  <si>
    <t>Balance Sheet: Assets</t>
  </si>
  <si>
    <t>SUMMARY: ASSETS</t>
  </si>
  <si>
    <t>Gross Block</t>
  </si>
  <si>
    <t>Accumulated Depreciation</t>
  </si>
  <si>
    <t>Net Block</t>
  </si>
  <si>
    <t>Capital Work in Progress</t>
  </si>
  <si>
    <t>NET FIXED ASSETS</t>
  </si>
  <si>
    <t>Investments in Affiliate Companies</t>
  </si>
  <si>
    <t>Receivables : More than 6 months</t>
  </si>
  <si>
    <t>Receivables : Less than 6 months</t>
  </si>
  <si>
    <t>Less: Provision for doubtful debts</t>
  </si>
  <si>
    <t>Bills Receivable</t>
  </si>
  <si>
    <t>TOTAL RECEIVABLES</t>
  </si>
  <si>
    <t>Loans &amp; Advances to Subsidiaries</t>
  </si>
  <si>
    <t>Loans &amp; Advances to Affiliate Companies</t>
  </si>
  <si>
    <t>Loans; Advances;  current assets  related to operations</t>
  </si>
  <si>
    <t>Cash and Bank Balances</t>
  </si>
  <si>
    <t>Total Inventories  Non-operational Assets</t>
  </si>
  <si>
    <t>Advance Tax Paid</t>
  </si>
  <si>
    <t>TOTAL ASSETS</t>
  </si>
  <si>
    <t>Balance Sheet: Liabilities</t>
  </si>
  <si>
    <t>SUMARY: LIABILITIES</t>
  </si>
  <si>
    <t>Total Paid Up Equity Share Capital</t>
  </si>
  <si>
    <t>Share Application Money pending allotment</t>
  </si>
  <si>
    <t>Quasi Equity :FCD; CCPS etc.</t>
  </si>
  <si>
    <t>GROSS RESERVES</t>
  </si>
  <si>
    <t>Intangible Assets</t>
  </si>
  <si>
    <t>Miscellaneous expenses not written off</t>
  </si>
  <si>
    <t>Debit Balance in Profit and loss Account</t>
  </si>
  <si>
    <t>NET RESERVES</t>
  </si>
  <si>
    <t>TANGIBLE NET WORTH</t>
  </si>
  <si>
    <t>Deferred Payment Credit</t>
  </si>
  <si>
    <t>Rupee Term Loans</t>
  </si>
  <si>
    <t>TOTAL LONG TERM DEBT</t>
  </si>
  <si>
    <t>NET LONG TERM DEBT</t>
  </si>
  <si>
    <t>Working capital Bank Borrowings</t>
  </si>
  <si>
    <t>Intercorporate Borrowings: excluding from affiliates; subsidiaries</t>
  </si>
  <si>
    <t>Loans &amp; Advances from Subsidiaries</t>
  </si>
  <si>
    <t>Loans &amp; Advances from  promoters; other affiliated cos.</t>
  </si>
  <si>
    <t>Other Short Term Loans &amp; Advances</t>
  </si>
  <si>
    <t>New Short Term Loans</t>
  </si>
  <si>
    <t>TOTAL SHORT TERM DEBT</t>
  </si>
  <si>
    <t>Creditors for goods</t>
  </si>
  <si>
    <t>Creditors for Expenses</t>
  </si>
  <si>
    <t>Other Current Liabilities: related to ops.</t>
  </si>
  <si>
    <t>Current Liabilities: not related to operations</t>
  </si>
  <si>
    <t>TOTAL OTHER LIABILITIES</t>
  </si>
  <si>
    <t>Provision for Dividend</t>
  </si>
  <si>
    <t>Provision for Taxes</t>
  </si>
  <si>
    <t>Other Provisions; regular</t>
  </si>
  <si>
    <t>Total Provisions</t>
  </si>
  <si>
    <t>Total Current Liabilities and Provisions; related to operations</t>
  </si>
  <si>
    <t>TOTAL OUTSIDE LIABILITIES</t>
  </si>
  <si>
    <t>TOTAL LIABILITIES</t>
  </si>
  <si>
    <t>Particulars</t>
  </si>
  <si>
    <t>Current Ratio</t>
  </si>
  <si>
    <t>Working Capital Turnover Ratio</t>
  </si>
  <si>
    <t>Average Collection Period (days)</t>
  </si>
  <si>
    <t>Average Creditors Period (days)</t>
  </si>
  <si>
    <t xml:space="preserve">Working Capital Cycle (days)  </t>
  </si>
  <si>
    <t>Debt Equity Ratio</t>
  </si>
  <si>
    <t>Overall Gearing Ratio (Including Acceptances / Creditors on LC)</t>
  </si>
  <si>
    <t>Overall Gearing Ratio (Excluding Acceptances / Creditors on LC)</t>
  </si>
  <si>
    <t>Adjusted Overall Gearing</t>
  </si>
  <si>
    <t>Average Cost of Borrowings</t>
  </si>
  <si>
    <t>Total Outside Liabilities to Networth</t>
  </si>
  <si>
    <t>Financial Flexibility:</t>
  </si>
  <si>
    <t>Capital Structure Ratio</t>
  </si>
  <si>
    <t>Summary of Ratios</t>
  </si>
  <si>
    <t>KEY FINANCIAL RATIOS</t>
  </si>
  <si>
    <t>Growth Ratios (%)</t>
  </si>
  <si>
    <t>Growth in Net sales</t>
  </si>
  <si>
    <t>Growth in Total Operating Income</t>
  </si>
  <si>
    <t>Growth in PBILDT</t>
  </si>
  <si>
    <t>Growth in APAT</t>
  </si>
  <si>
    <t>Profitability Ratios (%)</t>
  </si>
  <si>
    <t>Gross Margin</t>
  </si>
  <si>
    <t>PBILDT Margin</t>
  </si>
  <si>
    <t>PBIT Margin</t>
  </si>
  <si>
    <t>OPBT Margin</t>
  </si>
  <si>
    <t>OPAT Margin</t>
  </si>
  <si>
    <t>APAT Margin</t>
  </si>
  <si>
    <t>Operating ROCE</t>
  </si>
  <si>
    <t>ROCE (Total)</t>
  </si>
  <si>
    <t>RONW</t>
  </si>
  <si>
    <t>Turnover Ratios</t>
  </si>
  <si>
    <t>Operating Capital Turnover Ratio</t>
  </si>
  <si>
    <t>Fixed Assets Turnover Ratio</t>
  </si>
  <si>
    <t>Working Capital Cycle (days)</t>
  </si>
  <si>
    <t>Adjusted Debt Equity Ratio</t>
  </si>
  <si>
    <t>Term Debt (including CPLTD) / Gross Cash Accruals</t>
  </si>
  <si>
    <t>Total Debt / Gross Cash Accruals</t>
  </si>
  <si>
    <t>Interest Coverage (PBILDT / Interest)</t>
  </si>
  <si>
    <t>PBIT / Interest</t>
  </si>
  <si>
    <t>Adjusted Interest Coverage</t>
  </si>
  <si>
    <t>Solvency Ratios :</t>
  </si>
  <si>
    <t xml:space="preserve">AUDITED  </t>
  </si>
  <si>
    <t xml:space="preserve">AUDITED </t>
  </si>
  <si>
    <t xml:space="preserve">12 MONTHS </t>
  </si>
  <si>
    <t>Employee Costs</t>
  </si>
  <si>
    <t>Adjusted Profit Before Tax (APBT)</t>
  </si>
  <si>
    <t>Extraordinary Adjustments</t>
  </si>
  <si>
    <t>Current Tax</t>
  </si>
  <si>
    <t>Profit After Tax</t>
  </si>
  <si>
    <t>No</t>
  </si>
  <si>
    <t>Total Other Assets</t>
  </si>
  <si>
    <t>Total Current Assets related to Operations</t>
  </si>
  <si>
    <t>Loans; Advances; current assets not related to operations</t>
  </si>
  <si>
    <t>Deferred tax assets (net)</t>
  </si>
  <si>
    <t>Other Non Current Assets</t>
  </si>
  <si>
    <t>NON CURRENT ASSETS</t>
  </si>
  <si>
    <t>Non-Current Loans &amp; Advances</t>
  </si>
  <si>
    <t>Non Current Investments (net of provisions)</t>
  </si>
  <si>
    <t>Investments in Marketable Securities</t>
  </si>
  <si>
    <t>Reserves &amp; Surplus</t>
  </si>
  <si>
    <t>Less: Current Portion of Long Term Debt and Fixed Deposits</t>
  </si>
  <si>
    <t>Total Current Assets</t>
  </si>
  <si>
    <t>Long Term Provisions</t>
  </si>
  <si>
    <t>Other Long Term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</si>
</sst>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00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8">
    <xf numFmtId="0" fontId="0" fillId="0" borderId="0" xfId="0"/>
    <xf numFmtId="2" fontId="0" fillId="0" borderId="0" xfId="0" applyNumberFormat="1"/>
    <xf numFmtId="43" fontId="0" fillId="0" borderId="0" xfId="1" applyFont="1"/>
    <xf numFmtId="43" fontId="6" fillId="3" borderId="8" xfId="1" applyFont="1" applyFill="1" applyBorder="1" applyAlignment="1" applyProtection="1">
      <alignment vertical="center"/>
      <protection locked="0"/>
    </xf>
    <xf numFmtId="43" fontId="6" fillId="3" borderId="18" xfId="1" applyFont="1" applyFill="1" applyBorder="1" applyAlignment="1" applyProtection="1">
      <alignment vertical="center"/>
      <protection locked="0"/>
    </xf>
    <xf numFmtId="43" fontId="6" fillId="3" borderId="19" xfId="1" applyFont="1" applyFill="1" applyBorder="1" applyAlignment="1" applyProtection="1">
      <alignment horizontal="center" vertical="center"/>
      <protection locked="0"/>
    </xf>
    <xf numFmtId="43" fontId="6" fillId="3" borderId="11" xfId="1" applyFont="1" applyFill="1" applyBorder="1" applyAlignment="1" applyProtection="1">
      <alignment vertical="center"/>
      <protection locked="0"/>
    </xf>
    <xf numFmtId="43" fontId="6" fillId="3" borderId="15" xfId="1" applyFont="1" applyFill="1" applyBorder="1" applyAlignment="1" applyProtection="1">
      <alignment horizontal="center" vertical="center"/>
      <protection locked="0"/>
    </xf>
    <xf numFmtId="43" fontId="6" fillId="3" borderId="15" xfId="1" applyFont="1" applyFill="1" applyBorder="1" applyAlignment="1" applyProtection="1">
      <alignment vertical="center"/>
      <protection locked="0"/>
    </xf>
    <xf numFmtId="43" fontId="1" fillId="0" borderId="11" xfId="1" applyFont="1" applyBorder="1" applyAlignment="1" applyProtection="1">
      <alignment vertical="center"/>
      <protection locked="0"/>
    </xf>
    <xf numFmtId="43" fontId="1" fillId="0" borderId="15" xfId="1" applyFont="1" applyBorder="1" applyAlignment="1" applyProtection="1">
      <alignment vertical="center"/>
      <protection locked="0"/>
    </xf>
    <xf numFmtId="43" fontId="3" fillId="2" borderId="11" xfId="1" applyFont="1" applyFill="1" applyBorder="1" applyAlignment="1" applyProtection="1">
      <alignment vertical="center"/>
      <protection locked="0"/>
    </xf>
    <xf numFmtId="43" fontId="3" fillId="2" borderId="15" xfId="1" applyFont="1" applyFill="1" applyBorder="1" applyAlignment="1" applyProtection="1">
      <alignment vertical="center"/>
      <protection locked="0"/>
    </xf>
    <xf numFmtId="43" fontId="3" fillId="2" borderId="12" xfId="1" applyFont="1" applyFill="1" applyBorder="1" applyAlignment="1" applyProtection="1">
      <alignment vertical="center"/>
      <protection locked="0"/>
    </xf>
    <xf numFmtId="43" fontId="3" fillId="2" borderId="16" xfId="1" applyFont="1" applyFill="1" applyBorder="1" applyAlignment="1" applyProtection="1">
      <alignment vertical="center"/>
      <protection locked="0"/>
    </xf>
    <xf numFmtId="43" fontId="0" fillId="0" borderId="0" xfId="1" applyFont="1" applyProtection="1">
      <protection locked="0"/>
    </xf>
    <xf numFmtId="43" fontId="6" fillId="3" borderId="29" xfId="1" applyFont="1" applyFill="1" applyBorder="1" applyAlignment="1" applyProtection="1">
      <alignment vertical="center" wrapText="1"/>
      <protection locked="0"/>
    </xf>
    <xf numFmtId="43" fontId="6" fillId="3" borderId="20" xfId="1" applyFont="1" applyFill="1" applyBorder="1" applyAlignment="1" applyProtection="1">
      <alignment vertical="center" wrapText="1"/>
      <protection locked="0"/>
    </xf>
    <xf numFmtId="43" fontId="6" fillId="4" borderId="11" xfId="1" applyFont="1" applyFill="1" applyBorder="1" applyAlignment="1" applyProtection="1">
      <alignment vertical="center"/>
      <protection locked="0"/>
    </xf>
    <xf numFmtId="43" fontId="6" fillId="3" borderId="30" xfId="1" applyFont="1" applyFill="1" applyBorder="1" applyAlignment="1" applyProtection="1">
      <alignment vertical="center" wrapText="1"/>
      <protection locked="0"/>
    </xf>
    <xf numFmtId="43" fontId="3" fillId="0" borderId="10" xfId="1" applyFont="1" applyBorder="1" applyAlignment="1" applyProtection="1">
      <alignment vertical="center"/>
      <protection locked="0"/>
    </xf>
    <xf numFmtId="43" fontId="1" fillId="0" borderId="14" xfId="1" applyFont="1" applyBorder="1" applyAlignment="1" applyProtection="1">
      <alignment vertical="center" wrapText="1"/>
      <protection locked="0"/>
    </xf>
    <xf numFmtId="43" fontId="1" fillId="0" borderId="15" xfId="1" applyFont="1" applyBorder="1" applyAlignment="1" applyProtection="1">
      <alignment vertical="center" wrapText="1"/>
      <protection locked="0"/>
    </xf>
    <xf numFmtId="43" fontId="3" fillId="0" borderId="11" xfId="1" applyFont="1" applyBorder="1" applyAlignment="1" applyProtection="1">
      <alignment vertical="center"/>
      <protection locked="0"/>
    </xf>
    <xf numFmtId="43" fontId="3" fillId="0" borderId="15" xfId="1" applyFont="1" applyBorder="1" applyAlignment="1" applyProtection="1">
      <alignment vertical="center" wrapText="1"/>
      <protection locked="0"/>
    </xf>
    <xf numFmtId="43" fontId="1" fillId="0" borderId="12" xfId="1" applyFont="1" applyBorder="1" applyAlignment="1" applyProtection="1">
      <alignment vertical="center"/>
      <protection locked="0"/>
    </xf>
    <xf numFmtId="43" fontId="1" fillId="0" borderId="16" xfId="1" applyFont="1" applyBorder="1" applyAlignment="1" applyProtection="1">
      <alignment vertical="center" wrapText="1"/>
      <protection locked="0"/>
    </xf>
    <xf numFmtId="43" fontId="3" fillId="0" borderId="8" xfId="1" applyFont="1" applyBorder="1" applyAlignment="1" applyProtection="1">
      <alignment vertical="center"/>
      <protection locked="0"/>
    </xf>
    <xf numFmtId="43" fontId="3" fillId="0" borderId="20" xfId="1" applyFont="1" applyBorder="1" applyAlignment="1" applyProtection="1">
      <alignment vertical="center" wrapText="1"/>
      <protection locked="0"/>
    </xf>
    <xf numFmtId="43" fontId="1" fillId="0" borderId="39" xfId="1" applyFont="1" applyBorder="1" applyAlignment="1" applyProtection="1">
      <alignment vertical="center"/>
      <protection locked="0"/>
    </xf>
    <xf numFmtId="43" fontId="1" fillId="0" borderId="31" xfId="1" applyFont="1" applyBorder="1" applyAlignment="1" applyProtection="1">
      <alignment vertical="center" wrapText="1"/>
      <protection locked="0"/>
    </xf>
    <xf numFmtId="43" fontId="1" fillId="0" borderId="11" xfId="1" applyFont="1" applyBorder="1" applyAlignment="1" applyProtection="1">
      <alignment vertical="center" wrapText="1"/>
      <protection locked="0"/>
    </xf>
    <xf numFmtId="43" fontId="1" fillId="0" borderId="18" xfId="1" applyFont="1" applyBorder="1" applyAlignment="1" applyProtection="1">
      <alignment vertical="center"/>
      <protection locked="0"/>
    </xf>
    <xf numFmtId="43" fontId="1" fillId="0" borderId="37" xfId="1" applyFont="1" applyBorder="1" applyAlignment="1" applyProtection="1">
      <alignment vertical="center"/>
      <protection locked="0"/>
    </xf>
    <xf numFmtId="43" fontId="1" fillId="0" borderId="37" xfId="1" applyFont="1" applyBorder="1" applyAlignment="1" applyProtection="1">
      <alignment vertical="center" wrapText="1"/>
      <protection locked="0"/>
    </xf>
    <xf numFmtId="43" fontId="3" fillId="2" borderId="8" xfId="1" applyFont="1" applyFill="1" applyBorder="1" applyAlignment="1" applyProtection="1">
      <alignment vertical="center"/>
      <protection locked="0"/>
    </xf>
    <xf numFmtId="43" fontId="3" fillId="2" borderId="20" xfId="1" applyFont="1" applyFill="1" applyBorder="1" applyAlignment="1" applyProtection="1">
      <alignment vertical="center" wrapText="1"/>
      <protection locked="0"/>
    </xf>
    <xf numFmtId="43" fontId="1" fillId="0" borderId="19" xfId="1" applyFont="1" applyBorder="1" applyAlignment="1" applyProtection="1">
      <alignment vertical="center" wrapText="1"/>
      <protection locked="0"/>
    </xf>
    <xf numFmtId="43" fontId="1" fillId="0" borderId="38" xfId="1" applyFont="1" applyBorder="1" applyAlignment="1" applyProtection="1">
      <alignment vertical="center" wrapText="1"/>
      <protection locked="0"/>
    </xf>
    <xf numFmtId="43" fontId="6" fillId="3" borderId="8" xfId="1" applyFont="1" applyFill="1" applyBorder="1" applyAlignment="1" applyProtection="1">
      <alignment vertical="center" wrapText="1"/>
      <protection locked="0"/>
    </xf>
    <xf numFmtId="43" fontId="6" fillId="4" borderId="8" xfId="1" applyFont="1" applyFill="1" applyBorder="1" applyAlignment="1" applyProtection="1">
      <alignment vertical="center"/>
      <protection locked="0"/>
    </xf>
    <xf numFmtId="43" fontId="3" fillId="0" borderId="32" xfId="1" applyFont="1" applyBorder="1" applyAlignment="1" applyProtection="1">
      <alignment vertical="center" wrapText="1"/>
      <protection locked="0"/>
    </xf>
    <xf numFmtId="43" fontId="3" fillId="0" borderId="10" xfId="1" applyFont="1" applyBorder="1" applyAlignment="1" applyProtection="1">
      <alignment vertical="center" wrapText="1"/>
      <protection locked="0"/>
    </xf>
    <xf numFmtId="43" fontId="1" fillId="0" borderId="41" xfId="1" applyFont="1" applyBorder="1" applyAlignment="1" applyProtection="1">
      <alignment vertical="center" wrapText="1"/>
      <protection locked="0"/>
    </xf>
    <xf numFmtId="43" fontId="1" fillId="0" borderId="42" xfId="1" applyFont="1" applyBorder="1" applyAlignment="1" applyProtection="1">
      <alignment vertical="center" wrapText="1"/>
      <protection locked="0"/>
    </xf>
    <xf numFmtId="43" fontId="1" fillId="0" borderId="12" xfId="1" applyFont="1" applyBorder="1" applyAlignment="1" applyProtection="1">
      <alignment vertical="center" wrapText="1"/>
      <protection locked="0"/>
    </xf>
    <xf numFmtId="43" fontId="1" fillId="0" borderId="10" xfId="1" applyFont="1" applyBorder="1" applyAlignment="1" applyProtection="1">
      <alignment vertical="center" wrapText="1"/>
      <protection locked="0"/>
    </xf>
    <xf numFmtId="43" fontId="3" fillId="2" borderId="35" xfId="1" applyFont="1" applyFill="1" applyBorder="1" applyAlignment="1" applyProtection="1">
      <alignment vertical="center"/>
      <protection locked="0"/>
    </xf>
    <xf numFmtId="43" fontId="3" fillId="2" borderId="8" xfId="1" applyFont="1" applyFill="1" applyBorder="1" applyAlignment="1" applyProtection="1">
      <alignment vertical="center" wrapText="1"/>
      <protection locked="0"/>
    </xf>
    <xf numFmtId="43" fontId="1" fillId="0" borderId="40" xfId="1" applyFont="1" applyBorder="1" applyAlignment="1" applyProtection="1">
      <alignment vertical="center" wrapText="1"/>
      <protection locked="0"/>
    </xf>
    <xf numFmtId="43" fontId="1" fillId="0" borderId="39" xfId="1" applyFont="1" applyBorder="1" applyAlignment="1" applyProtection="1">
      <alignment vertical="center" wrapText="1"/>
      <protection locked="0"/>
    </xf>
    <xf numFmtId="43" fontId="1" fillId="0" borderId="42" xfId="1" applyFont="1" applyBorder="1" applyAlignment="1" applyProtection="1">
      <alignment vertical="center"/>
      <protection locked="0"/>
    </xf>
    <xf numFmtId="43" fontId="1" fillId="0" borderId="41" xfId="1" applyFont="1" applyBorder="1" applyAlignment="1" applyProtection="1">
      <alignment vertical="center"/>
      <protection locked="0"/>
    </xf>
    <xf numFmtId="43" fontId="3" fillId="2" borderId="35" xfId="1" applyFont="1" applyFill="1" applyBorder="1" applyAlignment="1" applyProtection="1">
      <alignment vertical="center" wrapText="1"/>
      <protection locked="0"/>
    </xf>
    <xf numFmtId="43" fontId="1" fillId="0" borderId="43" xfId="1" applyFont="1" applyBorder="1" applyAlignment="1" applyProtection="1">
      <alignment vertical="center" wrapText="1"/>
      <protection locked="0"/>
    </xf>
    <xf numFmtId="43" fontId="1" fillId="0" borderId="18" xfId="1" applyFont="1" applyBorder="1" applyAlignment="1" applyProtection="1">
      <alignment vertical="center" wrapText="1"/>
      <protection locked="0"/>
    </xf>
    <xf numFmtId="43" fontId="1" fillId="0" borderId="16" xfId="1" applyFont="1" applyBorder="1" applyAlignment="1" applyProtection="1">
      <alignment vertical="center"/>
      <protection locked="0"/>
    </xf>
    <xf numFmtId="43" fontId="3" fillId="0" borderId="8" xfId="1" applyFont="1" applyBorder="1" applyAlignment="1" applyProtection="1">
      <alignment vertical="center" wrapText="1"/>
      <protection locked="0"/>
    </xf>
    <xf numFmtId="43" fontId="3" fillId="0" borderId="21" xfId="1" applyFont="1" applyBorder="1" applyAlignment="1">
      <alignment vertical="center" wrapText="1"/>
    </xf>
    <xf numFmtId="43" fontId="1" fillId="2" borderId="22" xfId="1" applyFont="1" applyFill="1" applyBorder="1" applyAlignment="1">
      <alignment vertical="center" wrapText="1"/>
    </xf>
    <xf numFmtId="43" fontId="1" fillId="2" borderId="28" xfId="1" applyFont="1" applyFill="1" applyBorder="1" applyAlignment="1">
      <alignment vertical="center" wrapText="1"/>
    </xf>
    <xf numFmtId="43" fontId="1" fillId="2" borderId="8" xfId="1" applyFont="1" applyFill="1" applyBorder="1" applyAlignment="1">
      <alignment vertical="center" wrapText="1"/>
    </xf>
    <xf numFmtId="43" fontId="1" fillId="0" borderId="0" xfId="1" applyFont="1" applyAlignment="1">
      <alignment vertical="center" wrapText="1"/>
    </xf>
    <xf numFmtId="43" fontId="3" fillId="0" borderId="0" xfId="1" applyFont="1" applyAlignment="1">
      <alignment vertical="center" wrapText="1"/>
    </xf>
    <xf numFmtId="43" fontId="1" fillId="2" borderId="22" xfId="1" applyFont="1" applyFill="1" applyBorder="1" applyAlignment="1">
      <alignment vertical="center"/>
    </xf>
    <xf numFmtId="43" fontId="1" fillId="0" borderId="1" xfId="1" applyFont="1" applyBorder="1" applyAlignment="1">
      <alignment vertical="center" wrapText="1"/>
    </xf>
    <xf numFmtId="43" fontId="1" fillId="0" borderId="33" xfId="1" applyFont="1" applyBorder="1" applyAlignment="1">
      <alignment vertical="center" wrapText="1"/>
    </xf>
    <xf numFmtId="43" fontId="1" fillId="0" borderId="24" xfId="1" applyFont="1" applyBorder="1" applyAlignment="1">
      <alignment vertical="center" wrapText="1"/>
    </xf>
    <xf numFmtId="43" fontId="0" fillId="2" borderId="8" xfId="1" applyFont="1" applyFill="1" applyBorder="1" applyAlignment="1">
      <alignment vertical="center" wrapText="1"/>
    </xf>
    <xf numFmtId="43" fontId="0" fillId="2" borderId="8" xfId="1" applyFont="1" applyFill="1" applyBorder="1"/>
    <xf numFmtId="43" fontId="1" fillId="2" borderId="3" xfId="1" applyFont="1" applyFill="1" applyBorder="1" applyAlignment="1">
      <alignment vertical="center" wrapText="1"/>
    </xf>
    <xf numFmtId="43" fontId="1" fillId="2" borderId="4" xfId="1" applyFont="1" applyFill="1" applyBorder="1" applyAlignment="1">
      <alignment vertical="center" wrapText="1"/>
    </xf>
    <xf numFmtId="43" fontId="1" fillId="2" borderId="24" xfId="1" applyFont="1" applyFill="1" applyBorder="1" applyAlignment="1">
      <alignment vertical="center" wrapText="1"/>
    </xf>
    <xf numFmtId="43" fontId="1" fillId="2" borderId="44" xfId="1" applyFont="1" applyFill="1" applyBorder="1" applyAlignment="1">
      <alignment vertical="center" wrapText="1"/>
    </xf>
    <xf numFmtId="43" fontId="1" fillId="2" borderId="30" xfId="1" applyFont="1" applyFill="1" applyBorder="1" applyAlignment="1">
      <alignment vertical="center" wrapText="1"/>
    </xf>
    <xf numFmtId="43" fontId="0" fillId="2" borderId="20" xfId="1" applyFont="1" applyFill="1" applyBorder="1"/>
    <xf numFmtId="43" fontId="1" fillId="2" borderId="45" xfId="1" applyFont="1" applyFill="1" applyBorder="1" applyAlignment="1">
      <alignment vertical="center" wrapText="1"/>
    </xf>
    <xf numFmtId="14" fontId="3" fillId="0" borderId="8" xfId="1" applyNumberFormat="1" applyFont="1" applyBorder="1" applyAlignment="1" applyProtection="1">
      <alignment horizontal="right" vertical="center"/>
      <protection locked="0"/>
    </xf>
    <xf numFmtId="14" fontId="3" fillId="0" borderId="20" xfId="1" applyNumberFormat="1" applyFont="1" applyBorder="1" applyAlignment="1" applyProtection="1">
      <alignment horizontal="right" vertical="center"/>
      <protection locked="0"/>
    </xf>
    <xf numFmtId="14" fontId="3" fillId="0" borderId="8" xfId="1" applyNumberFormat="1" applyFont="1" applyBorder="1" applyAlignment="1" applyProtection="1">
      <alignment vertical="center"/>
      <protection locked="0"/>
    </xf>
    <xf numFmtId="14" fontId="6" fillId="3" borderId="8" xfId="1" applyNumberFormat="1" applyFont="1" applyFill="1" applyBorder="1" applyAlignment="1" applyProtection="1">
      <alignment horizontal="center" vertical="center"/>
      <protection locked="0"/>
    </xf>
    <xf numFmtId="14" fontId="6" fillId="3" borderId="8" xfId="1" applyNumberFormat="1" applyFont="1" applyFill="1" applyBorder="1" applyAlignment="1" applyProtection="1">
      <alignment vertical="center"/>
      <protection locked="0"/>
    </xf>
    <xf numFmtId="14" fontId="6" fillId="3" borderId="20" xfId="1" applyNumberFormat="1" applyFont="1" applyFill="1" applyBorder="1" applyAlignment="1" applyProtection="1">
      <alignment horizontal="center" vertical="center"/>
      <protection locked="0"/>
    </xf>
    <xf numFmtId="14" fontId="1" fillId="0" borderId="20" xfId="1" applyNumberFormat="1" applyFont="1" applyBorder="1" applyAlignment="1" applyProtection="1">
      <alignment horizontal="right" vertical="center"/>
      <protection locked="0"/>
    </xf>
    <xf numFmtId="14" fontId="1" fillId="0" borderId="6" xfId="1" applyNumberFormat="1" applyFont="1" applyBorder="1" applyAlignment="1" applyProtection="1">
      <alignment vertical="center"/>
      <protection locked="0"/>
    </xf>
    <xf numFmtId="14" fontId="6" fillId="3" borderId="36" xfId="1" applyNumberFormat="1" applyFont="1" applyFill="1" applyBorder="1" applyAlignment="1" applyProtection="1">
      <alignment horizontal="center" vertical="center"/>
      <protection locked="0"/>
    </xf>
    <xf numFmtId="43" fontId="6" fillId="3" borderId="46" xfId="1" applyFont="1" applyFill="1" applyBorder="1" applyAlignment="1" applyProtection="1">
      <alignment vertical="center" wrapText="1"/>
      <protection locked="0"/>
    </xf>
    <xf numFmtId="14" fontId="6" fillId="3" borderId="29" xfId="1" applyNumberFormat="1" applyFont="1" applyFill="1" applyBorder="1" applyAlignment="1" applyProtection="1">
      <alignment vertical="center"/>
      <protection locked="0"/>
    </xf>
    <xf numFmtId="43" fontId="3" fillId="0" borderId="8" xfId="1" applyFont="1" applyBorder="1" applyAlignment="1">
      <alignment horizontal="left" vertical="center" wrapText="1"/>
    </xf>
    <xf numFmtId="43" fontId="4" fillId="0" borderId="22" xfId="1" applyFont="1" applyBorder="1" applyAlignment="1">
      <alignment horizontal="left" wrapText="1"/>
    </xf>
    <xf numFmtId="43" fontId="4" fillId="0" borderId="5" xfId="1" applyFont="1" applyBorder="1" applyAlignment="1">
      <alignment horizontal="left" wrapText="1"/>
    </xf>
    <xf numFmtId="43" fontId="4" fillId="0" borderId="4" xfId="1" applyFont="1" applyBorder="1" applyAlignment="1">
      <alignment horizontal="left" wrapText="1"/>
    </xf>
    <xf numFmtId="43" fontId="4" fillId="0" borderId="21" xfId="1" applyFont="1" applyBorder="1" applyAlignment="1">
      <alignment horizontal="left" wrapText="1"/>
    </xf>
    <xf numFmtId="43" fontId="4" fillId="0" borderId="23" xfId="1" applyFont="1" applyBorder="1" applyAlignment="1">
      <alignment horizontal="left" wrapText="1"/>
    </xf>
    <xf numFmtId="43" fontId="4" fillId="0" borderId="2" xfId="1" applyFont="1" applyBorder="1" applyAlignment="1">
      <alignment horizontal="left" wrapText="1"/>
    </xf>
    <xf numFmtId="43" fontId="2" fillId="0" borderId="9" xfId="1" applyFont="1" applyBorder="1" applyAlignment="1">
      <alignment horizontal="center"/>
    </xf>
    <xf numFmtId="43" fontId="2" fillId="0" borderId="13" xfId="1" applyFont="1" applyBorder="1" applyAlignment="1">
      <alignment horizontal="center"/>
    </xf>
    <xf numFmtId="43" fontId="2" fillId="0" borderId="17" xfId="1" applyFont="1" applyBorder="1" applyAlignment="1">
      <alignment horizontal="center"/>
    </xf>
    <xf numFmtId="43" fontId="2" fillId="0" borderId="25" xfId="1" applyFont="1" applyBorder="1" applyAlignment="1" applyProtection="1">
      <alignment horizontal="center"/>
      <protection locked="0"/>
    </xf>
    <xf numFmtId="43" fontId="2" fillId="0" borderId="26" xfId="1" applyFont="1" applyBorder="1" applyAlignment="1" applyProtection="1">
      <alignment horizontal="center"/>
      <protection locked="0"/>
    </xf>
    <xf numFmtId="43" fontId="2" fillId="0" borderId="27" xfId="1" applyFont="1" applyBorder="1" applyAlignment="1" applyProtection="1">
      <alignment horizontal="center"/>
      <protection locked="0"/>
    </xf>
    <xf numFmtId="43" fontId="2" fillId="0" borderId="35" xfId="1" applyFont="1" applyBorder="1" applyAlignment="1" applyProtection="1">
      <alignment horizontal="center"/>
      <protection locked="0"/>
    </xf>
    <xf numFmtId="43" fontId="2" fillId="0" borderId="36" xfId="1" applyFont="1" applyBorder="1" applyAlignment="1" applyProtection="1">
      <alignment horizontal="center"/>
      <protection locked="0"/>
    </xf>
    <xf numFmtId="43" fontId="2" fillId="0" borderId="20" xfId="1" applyFont="1" applyBorder="1" applyAlignment="1" applyProtection="1">
      <alignment horizontal="center"/>
      <protection locked="0"/>
    </xf>
    <xf numFmtId="43" fontId="2" fillId="0" borderId="8" xfId="1" applyFont="1" applyBorder="1" applyAlignment="1">
      <alignment horizontal="center"/>
    </xf>
    <xf numFmtId="43" fontId="1" fillId="0" borderId="34" xfId="1" applyFont="1" applyBorder="1" applyAlignment="1">
      <alignment horizontal="left" vertical="center" wrapText="1"/>
    </xf>
    <xf numFmtId="43" fontId="1" fillId="0" borderId="7" xfId="1" applyFont="1" applyBorder="1" applyAlignment="1">
      <alignment horizontal="left" vertical="center" wrapText="1"/>
    </xf>
    <xf numFmtId="43" fontId="1" fillId="0" borderId="30" xfId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tabSelected="1" topLeftCell="A85" zoomScaleNormal="100" workbookViewId="0">
      <selection activeCell="G124" sqref="G124"/>
    </sheetView>
  </sheetViews>
  <sheetFormatPr defaultRowHeight="15" x14ac:dyDescent="0.25"/>
  <cols>
    <col min="1" max="1" width="62.42578125" style="2" customWidth="1"/>
    <col min="2" max="2" width="15.85546875" style="2" customWidth="1"/>
    <col min="3" max="3" width="15.7109375" style="2" customWidth="1"/>
    <col min="4" max="4" width="16" style="2" bestFit="1" customWidth="1"/>
  </cols>
  <sheetData>
    <row r="1" spans="1:4" ht="15.75" thickBot="1" x14ac:dyDescent="0.3"/>
    <row r="2" spans="1:4" ht="19.5" thickBot="1" x14ac:dyDescent="0.35">
      <c r="A2" s="95" t="s">
        <v>25</v>
      </c>
      <c r="B2" s="96"/>
      <c r="C2" s="96"/>
      <c r="D2" s="97"/>
    </row>
    <row r="3" spans="1:4" ht="15.75" thickBot="1" x14ac:dyDescent="0.3">
      <c r="A3" s="3" t="s">
        <v>0</v>
      </c>
      <c r="B3" s="82">
        <v>45747</v>
      </c>
      <c r="C3" s="82">
        <v>45382</v>
      </c>
      <c r="D3" s="82">
        <v>45016</v>
      </c>
    </row>
    <row r="4" spans="1:4" x14ac:dyDescent="0.25">
      <c r="A4" s="4" t="s">
        <v>1</v>
      </c>
      <c r="B4" s="5" t="s">
        <v>122</v>
      </c>
      <c r="C4" s="5" t="s">
        <v>122</v>
      </c>
      <c r="D4" s="5" t="s">
        <v>123</v>
      </c>
    </row>
    <row r="5" spans="1:4" x14ac:dyDescent="0.25">
      <c r="A5" s="6" t="s">
        <v>2</v>
      </c>
      <c r="B5" s="7" t="s">
        <v>130</v>
      </c>
      <c r="C5" s="7" t="s">
        <v>130</v>
      </c>
      <c r="D5" s="7" t="s">
        <v>130</v>
      </c>
    </row>
    <row r="6" spans="1:4" x14ac:dyDescent="0.25">
      <c r="A6" s="6" t="s">
        <v>3</v>
      </c>
      <c r="B6" s="8" t="s">
        <v>124</v>
      </c>
      <c r="C6" s="8" t="s">
        <v>124</v>
      </c>
      <c r="D6" s="8" t="s">
        <v>124</v>
      </c>
    </row>
    <row r="7" spans="1:4" x14ac:dyDescent="0.25">
      <c r="A7" s="9" t="s">
        <v>4</v>
      </c>
      <c r="B7" s="10">
        <v>0</v>
      </c>
      <c r="C7" s="10">
        <v>0</v>
      </c>
      <c r="D7" s="10">
        <v>0</v>
      </c>
    </row>
    <row r="8" spans="1:4" x14ac:dyDescent="0.25">
      <c r="A8" s="9" t="s">
        <v>5</v>
      </c>
      <c r="B8" s="10">
        <v>0</v>
      </c>
      <c r="C8" s="10">
        <v>0</v>
      </c>
      <c r="D8" s="10">
        <v>0</v>
      </c>
    </row>
    <row r="9" spans="1:4" x14ac:dyDescent="0.25">
      <c r="A9" s="11" t="s">
        <v>6</v>
      </c>
      <c r="B9" s="12">
        <f>SUM(B7:B8)</f>
        <v>0</v>
      </c>
      <c r="C9" s="12">
        <f>SUM(C7:C8)</f>
        <v>0</v>
      </c>
      <c r="D9" s="12">
        <f>SUM(D7:D8)</f>
        <v>0</v>
      </c>
    </row>
    <row r="10" spans="1:4" x14ac:dyDescent="0.25">
      <c r="A10" s="9" t="s">
        <v>7</v>
      </c>
      <c r="B10" s="10">
        <v>0</v>
      </c>
      <c r="C10" s="10">
        <v>0</v>
      </c>
      <c r="D10" s="10">
        <v>0</v>
      </c>
    </row>
    <row r="11" spans="1:4" x14ac:dyDescent="0.25">
      <c r="A11" s="9" t="s">
        <v>8</v>
      </c>
      <c r="B11" s="10">
        <v>0</v>
      </c>
      <c r="C11" s="10">
        <v>0</v>
      </c>
      <c r="D11" s="10">
        <v>0</v>
      </c>
    </row>
    <row r="12" spans="1:4" x14ac:dyDescent="0.25">
      <c r="A12" s="9" t="s">
        <v>9</v>
      </c>
      <c r="B12" s="10">
        <v>0</v>
      </c>
      <c r="C12" s="10">
        <v>0</v>
      </c>
      <c r="D12" s="10">
        <v>0</v>
      </c>
    </row>
    <row r="13" spans="1:4" x14ac:dyDescent="0.25">
      <c r="A13" s="9" t="s">
        <v>10</v>
      </c>
      <c r="B13" s="10">
        <v>0</v>
      </c>
      <c r="C13" s="10">
        <v>0</v>
      </c>
      <c r="D13" s="10">
        <v>0</v>
      </c>
    </row>
    <row r="14" spans="1:4" x14ac:dyDescent="0.25">
      <c r="A14" s="9" t="s">
        <v>125</v>
      </c>
      <c r="B14" s="9">
        <v>0</v>
      </c>
      <c r="C14" s="10">
        <v>0</v>
      </c>
      <c r="D14" s="10">
        <v>0</v>
      </c>
    </row>
    <row r="15" spans="1:4" x14ac:dyDescent="0.25">
      <c r="A15" s="9" t="s">
        <v>11</v>
      </c>
      <c r="B15" s="10">
        <v>0</v>
      </c>
      <c r="C15" s="10">
        <v>0</v>
      </c>
      <c r="D15" s="10">
        <v>0</v>
      </c>
    </row>
    <row r="16" spans="1:4" x14ac:dyDescent="0.25">
      <c r="A16" s="9" t="s">
        <v>12</v>
      </c>
      <c r="B16" s="10">
        <v>0</v>
      </c>
      <c r="C16" s="10">
        <v>0</v>
      </c>
      <c r="D16" s="10">
        <v>0</v>
      </c>
    </row>
    <row r="17" spans="1:5" x14ac:dyDescent="0.25">
      <c r="A17" s="9" t="s">
        <v>13</v>
      </c>
      <c r="B17" s="10">
        <v>0</v>
      </c>
      <c r="C17" s="10">
        <v>0</v>
      </c>
      <c r="D17" s="10">
        <v>0</v>
      </c>
    </row>
    <row r="18" spans="1:5" x14ac:dyDescent="0.25">
      <c r="A18" s="11" t="s">
        <v>14</v>
      </c>
      <c r="B18" s="12">
        <f>SUM(B10:B17)</f>
        <v>0</v>
      </c>
      <c r="C18" s="12">
        <f t="shared" ref="C18:D18" si="0">SUM(C10:C17)</f>
        <v>0</v>
      </c>
      <c r="D18" s="12">
        <f t="shared" si="0"/>
        <v>0</v>
      </c>
      <c r="E18" s="1"/>
    </row>
    <row r="19" spans="1:5" x14ac:dyDescent="0.25">
      <c r="A19" s="11" t="s">
        <v>15</v>
      </c>
      <c r="B19" s="12">
        <f>B9-B18</f>
        <v>0</v>
      </c>
      <c r="C19" s="12">
        <f>C9-C18</f>
        <v>0</v>
      </c>
      <c r="D19" s="12">
        <f>D9-D18</f>
        <v>0</v>
      </c>
    </row>
    <row r="20" spans="1:5" x14ac:dyDescent="0.25">
      <c r="A20" s="9" t="s">
        <v>16</v>
      </c>
      <c r="B20" s="10">
        <v>0</v>
      </c>
      <c r="C20" s="10">
        <v>0</v>
      </c>
      <c r="D20" s="10">
        <v>0</v>
      </c>
    </row>
    <row r="21" spans="1:5" x14ac:dyDescent="0.25">
      <c r="A21" s="11" t="s">
        <v>17</v>
      </c>
      <c r="B21" s="12">
        <f>B19-B20</f>
        <v>0</v>
      </c>
      <c r="C21" s="12">
        <f>C19-C20</f>
        <v>0</v>
      </c>
      <c r="D21" s="12">
        <f>D19-D20</f>
        <v>0</v>
      </c>
    </row>
    <row r="22" spans="1:5" x14ac:dyDescent="0.25">
      <c r="A22" s="9" t="s">
        <v>18</v>
      </c>
      <c r="B22" s="10">
        <v>0</v>
      </c>
      <c r="C22" s="10">
        <v>0</v>
      </c>
      <c r="D22" s="10">
        <v>0</v>
      </c>
    </row>
    <row r="23" spans="1:5" x14ac:dyDescent="0.25">
      <c r="A23" s="11" t="s">
        <v>19</v>
      </c>
      <c r="B23" s="12">
        <f>B21-B22</f>
        <v>0</v>
      </c>
      <c r="C23" s="12">
        <f t="shared" ref="C23:D23" si="1">C21-C22</f>
        <v>0</v>
      </c>
      <c r="D23" s="12">
        <f t="shared" si="1"/>
        <v>0</v>
      </c>
    </row>
    <row r="24" spans="1:5" x14ac:dyDescent="0.25">
      <c r="A24" s="9" t="s">
        <v>20</v>
      </c>
      <c r="B24" s="10">
        <v>0</v>
      </c>
      <c r="C24" s="10">
        <v>0</v>
      </c>
      <c r="D24" s="10">
        <v>0</v>
      </c>
    </row>
    <row r="25" spans="1:5" x14ac:dyDescent="0.25">
      <c r="A25" s="11" t="s">
        <v>21</v>
      </c>
      <c r="B25" s="12">
        <f>B23-B24</f>
        <v>0</v>
      </c>
      <c r="C25" s="12">
        <f>C23-C24</f>
        <v>0</v>
      </c>
      <c r="D25" s="12">
        <f>D23-D24</f>
        <v>0</v>
      </c>
    </row>
    <row r="26" spans="1:5" x14ac:dyDescent="0.25">
      <c r="A26" s="9" t="s">
        <v>22</v>
      </c>
      <c r="B26" s="10">
        <v>0</v>
      </c>
      <c r="C26" s="10">
        <v>0</v>
      </c>
      <c r="D26" s="10">
        <v>0</v>
      </c>
    </row>
    <row r="27" spans="1:5" x14ac:dyDescent="0.25">
      <c r="A27" s="12" t="s">
        <v>126</v>
      </c>
      <c r="B27" s="12">
        <f>B25-B26</f>
        <v>0</v>
      </c>
      <c r="C27" s="12">
        <f t="shared" ref="C27:D27" si="2">C25-C26</f>
        <v>0</v>
      </c>
      <c r="D27" s="12">
        <f t="shared" si="2"/>
        <v>0</v>
      </c>
    </row>
    <row r="28" spans="1:5" x14ac:dyDescent="0.25">
      <c r="A28" s="9" t="s">
        <v>127</v>
      </c>
      <c r="B28" s="10">
        <v>0</v>
      </c>
      <c r="C28" s="10">
        <v>0</v>
      </c>
      <c r="D28" s="10">
        <v>0</v>
      </c>
    </row>
    <row r="29" spans="1:5" x14ac:dyDescent="0.25">
      <c r="A29" s="9" t="s">
        <v>128</v>
      </c>
      <c r="B29" s="10">
        <v>0</v>
      </c>
      <c r="C29" s="10">
        <v>0</v>
      </c>
      <c r="D29" s="10">
        <v>0</v>
      </c>
    </row>
    <row r="30" spans="1:5" x14ac:dyDescent="0.25">
      <c r="A30" s="9" t="s">
        <v>23</v>
      </c>
      <c r="B30" s="10">
        <v>0</v>
      </c>
      <c r="C30" s="10">
        <v>0</v>
      </c>
      <c r="D30" s="10">
        <v>0</v>
      </c>
    </row>
    <row r="31" spans="1:5" x14ac:dyDescent="0.25">
      <c r="A31" s="12" t="s">
        <v>129</v>
      </c>
      <c r="B31" s="12">
        <f>B27-B28-B29-B30</f>
        <v>0</v>
      </c>
      <c r="C31" s="12">
        <f t="shared" ref="C31:D31" si="3">C27-C28-C29-C30</f>
        <v>0</v>
      </c>
      <c r="D31" s="12">
        <f t="shared" si="3"/>
        <v>0</v>
      </c>
    </row>
    <row r="32" spans="1:5" ht="15.75" thickBot="1" x14ac:dyDescent="0.3">
      <c r="A32" s="13" t="s">
        <v>24</v>
      </c>
      <c r="B32" s="14">
        <f>SUM(B20,B30,B31)</f>
        <v>0</v>
      </c>
      <c r="C32" s="14">
        <f>SUM(C20,C30,C31)</f>
        <v>0</v>
      </c>
      <c r="D32" s="14">
        <f>SUM(D20,D30,D31)</f>
        <v>0</v>
      </c>
    </row>
    <row r="33" spans="1:4" ht="15.75" thickBot="1" x14ac:dyDescent="0.3">
      <c r="A33" s="15"/>
      <c r="B33" s="15"/>
      <c r="C33" s="15"/>
      <c r="D33" s="15"/>
    </row>
    <row r="34" spans="1:4" ht="19.5" thickBot="1" x14ac:dyDescent="0.35">
      <c r="A34" s="98" t="s">
        <v>26</v>
      </c>
      <c r="B34" s="99"/>
      <c r="C34" s="99"/>
      <c r="D34" s="100"/>
    </row>
    <row r="35" spans="1:4" ht="15.75" thickBot="1" x14ac:dyDescent="0.3">
      <c r="A35" s="16" t="s">
        <v>0</v>
      </c>
      <c r="B35" s="82">
        <v>45747</v>
      </c>
      <c r="C35" s="85">
        <v>45382</v>
      </c>
      <c r="D35" s="87">
        <v>45016</v>
      </c>
    </row>
    <row r="36" spans="1:4" ht="15.75" thickBot="1" x14ac:dyDescent="0.3">
      <c r="A36" s="3" t="s">
        <v>1</v>
      </c>
      <c r="B36" s="17" t="s">
        <v>123</v>
      </c>
      <c r="C36" s="86" t="s">
        <v>123</v>
      </c>
      <c r="D36" s="39" t="s">
        <v>123</v>
      </c>
    </row>
    <row r="37" spans="1:4" ht="15.75" thickBot="1" x14ac:dyDescent="0.3">
      <c r="A37" s="18" t="s">
        <v>2</v>
      </c>
      <c r="B37" s="19" t="s">
        <v>130</v>
      </c>
      <c r="C37" s="19" t="s">
        <v>130</v>
      </c>
      <c r="D37" s="19" t="s">
        <v>130</v>
      </c>
    </row>
    <row r="38" spans="1:4" x14ac:dyDescent="0.25">
      <c r="A38" s="20" t="s">
        <v>27</v>
      </c>
      <c r="B38" s="21"/>
      <c r="C38" s="21"/>
      <c r="D38" s="21"/>
    </row>
    <row r="39" spans="1:4" x14ac:dyDescent="0.25">
      <c r="A39" s="9" t="s">
        <v>28</v>
      </c>
      <c r="B39" s="22">
        <v>0</v>
      </c>
      <c r="C39" s="22">
        <v>0</v>
      </c>
      <c r="D39" s="22">
        <v>0</v>
      </c>
    </row>
    <row r="40" spans="1:4" x14ac:dyDescent="0.25">
      <c r="A40" s="9" t="s">
        <v>29</v>
      </c>
      <c r="B40" s="10">
        <v>0</v>
      </c>
      <c r="C40" s="10">
        <v>0</v>
      </c>
      <c r="D40" s="10">
        <v>0</v>
      </c>
    </row>
    <row r="41" spans="1:4" x14ac:dyDescent="0.25">
      <c r="A41" s="23" t="s">
        <v>30</v>
      </c>
      <c r="B41" s="24">
        <f>B39-B40</f>
        <v>0</v>
      </c>
      <c r="C41" s="24">
        <f t="shared" ref="C41:D41" si="4">C39-C40</f>
        <v>0</v>
      </c>
      <c r="D41" s="24">
        <f t="shared" si="4"/>
        <v>0</v>
      </c>
    </row>
    <row r="42" spans="1:4" ht="15.75" thickBot="1" x14ac:dyDescent="0.3">
      <c r="A42" s="25" t="s">
        <v>31</v>
      </c>
      <c r="B42" s="26">
        <v>0</v>
      </c>
      <c r="C42" s="26">
        <v>0</v>
      </c>
      <c r="D42" s="26">
        <v>0</v>
      </c>
    </row>
    <row r="43" spans="1:4" ht="15.75" thickBot="1" x14ac:dyDescent="0.3">
      <c r="A43" s="27" t="s">
        <v>32</v>
      </c>
      <c r="B43" s="28">
        <f>B41+B42</f>
        <v>0</v>
      </c>
      <c r="C43" s="28">
        <f t="shared" ref="C43:D43" si="5">C41+C42</f>
        <v>0</v>
      </c>
      <c r="D43" s="28">
        <f t="shared" si="5"/>
        <v>0</v>
      </c>
    </row>
    <row r="44" spans="1:4" x14ac:dyDescent="0.25">
      <c r="A44" s="29" t="s">
        <v>33</v>
      </c>
      <c r="B44" s="30">
        <v>0</v>
      </c>
      <c r="C44" s="30">
        <v>0</v>
      </c>
      <c r="D44" s="30">
        <v>0</v>
      </c>
    </row>
    <row r="45" spans="1:4" x14ac:dyDescent="0.25">
      <c r="A45" s="9" t="s">
        <v>138</v>
      </c>
      <c r="B45" s="22">
        <v>0</v>
      </c>
      <c r="C45" s="22">
        <v>0</v>
      </c>
      <c r="D45" s="31">
        <v>0</v>
      </c>
    </row>
    <row r="46" spans="1:4" x14ac:dyDescent="0.25">
      <c r="A46" s="32" t="s">
        <v>137</v>
      </c>
      <c r="B46" s="30">
        <v>0</v>
      </c>
      <c r="C46" s="30">
        <v>0</v>
      </c>
      <c r="D46" s="30">
        <v>0</v>
      </c>
    </row>
    <row r="47" spans="1:4" x14ac:dyDescent="0.25">
      <c r="A47" s="9" t="s">
        <v>134</v>
      </c>
      <c r="B47" s="31">
        <v>0</v>
      </c>
      <c r="C47" s="31">
        <v>0</v>
      </c>
      <c r="D47" s="31">
        <v>0</v>
      </c>
    </row>
    <row r="48" spans="1:4" ht="15.75" thickBot="1" x14ac:dyDescent="0.3">
      <c r="A48" s="33" t="s">
        <v>135</v>
      </c>
      <c r="B48" s="34">
        <v>0</v>
      </c>
      <c r="C48" s="34">
        <v>0</v>
      </c>
      <c r="D48" s="34">
        <v>0</v>
      </c>
    </row>
    <row r="49" spans="1:7" ht="15.75" thickBot="1" x14ac:dyDescent="0.3">
      <c r="A49" s="35" t="s">
        <v>136</v>
      </c>
      <c r="B49" s="36">
        <f>SUM(B44:B48)</f>
        <v>0</v>
      </c>
      <c r="C49" s="36">
        <f>SUM(C44:C48)</f>
        <v>0</v>
      </c>
      <c r="D49" s="36">
        <f>SUM(D44:D48)</f>
        <v>0</v>
      </c>
    </row>
    <row r="50" spans="1:7" x14ac:dyDescent="0.25">
      <c r="A50" s="32" t="s">
        <v>34</v>
      </c>
      <c r="B50" s="37">
        <v>0</v>
      </c>
      <c r="C50" s="37">
        <v>0</v>
      </c>
      <c r="D50" s="37">
        <v>0</v>
      </c>
    </row>
    <row r="51" spans="1:7" x14ac:dyDescent="0.25">
      <c r="A51" s="9" t="s">
        <v>35</v>
      </c>
      <c r="B51" s="22">
        <v>0</v>
      </c>
      <c r="C51" s="22">
        <v>0</v>
      </c>
      <c r="D51" s="22">
        <v>0</v>
      </c>
    </row>
    <row r="52" spans="1:7" x14ac:dyDescent="0.25">
      <c r="A52" s="9" t="s">
        <v>36</v>
      </c>
      <c r="B52" s="22">
        <v>0</v>
      </c>
      <c r="C52" s="22">
        <v>0</v>
      </c>
      <c r="D52" s="22">
        <v>0</v>
      </c>
    </row>
    <row r="53" spans="1:7" ht="15.75" thickBot="1" x14ac:dyDescent="0.3">
      <c r="A53" s="25" t="s">
        <v>37</v>
      </c>
      <c r="B53" s="26">
        <v>0</v>
      </c>
      <c r="C53" s="26">
        <v>0</v>
      </c>
      <c r="D53" s="26">
        <v>0</v>
      </c>
    </row>
    <row r="54" spans="1:7" ht="15.75" thickBot="1" x14ac:dyDescent="0.3">
      <c r="A54" s="35" t="s">
        <v>38</v>
      </c>
      <c r="B54" s="36">
        <f>B50+B51-B52+B53</f>
        <v>0</v>
      </c>
      <c r="C54" s="36">
        <f t="shared" ref="C54:D54" si="6">C50+C51-C52+C53</f>
        <v>0</v>
      </c>
      <c r="D54" s="36">
        <f t="shared" si="6"/>
        <v>0</v>
      </c>
    </row>
    <row r="55" spans="1:7" x14ac:dyDescent="0.25">
      <c r="A55" s="32" t="s">
        <v>139</v>
      </c>
      <c r="B55" s="37">
        <v>0</v>
      </c>
      <c r="C55" s="37">
        <v>0</v>
      </c>
      <c r="D55" s="37">
        <v>0</v>
      </c>
    </row>
    <row r="56" spans="1:7" x14ac:dyDescent="0.25">
      <c r="A56" s="32" t="s">
        <v>39</v>
      </c>
      <c r="B56" s="37">
        <v>0</v>
      </c>
      <c r="C56" s="37">
        <v>0</v>
      </c>
      <c r="D56" s="37">
        <v>0</v>
      </c>
    </row>
    <row r="57" spans="1:7" x14ac:dyDescent="0.25">
      <c r="A57" s="9" t="s">
        <v>40</v>
      </c>
      <c r="B57" s="22">
        <v>0</v>
      </c>
      <c r="C57" s="22">
        <v>0</v>
      </c>
      <c r="D57" s="22">
        <v>0</v>
      </c>
    </row>
    <row r="58" spans="1:7" x14ac:dyDescent="0.25">
      <c r="A58" s="9" t="s">
        <v>41</v>
      </c>
      <c r="B58" s="22">
        <v>0</v>
      </c>
      <c r="C58" s="22">
        <v>0</v>
      </c>
      <c r="D58" s="22">
        <v>0</v>
      </c>
    </row>
    <row r="59" spans="1:7" x14ac:dyDescent="0.25">
      <c r="A59" s="9" t="s">
        <v>42</v>
      </c>
      <c r="B59" s="22">
        <v>0</v>
      </c>
      <c r="C59" s="22">
        <v>0</v>
      </c>
      <c r="D59" s="22">
        <v>0</v>
      </c>
    </row>
    <row r="60" spans="1:7" x14ac:dyDescent="0.25">
      <c r="A60" s="9" t="s">
        <v>43</v>
      </c>
      <c r="B60" s="22">
        <v>0</v>
      </c>
      <c r="C60" s="22">
        <v>0</v>
      </c>
      <c r="D60" s="22">
        <v>0</v>
      </c>
    </row>
    <row r="61" spans="1:7" x14ac:dyDescent="0.25">
      <c r="A61" s="9" t="s">
        <v>133</v>
      </c>
      <c r="B61" s="22">
        <v>0</v>
      </c>
      <c r="C61" s="22">
        <v>0</v>
      </c>
      <c r="D61" s="22">
        <v>0</v>
      </c>
    </row>
    <row r="62" spans="1:7" x14ac:dyDescent="0.25">
      <c r="A62" s="33" t="s">
        <v>44</v>
      </c>
      <c r="B62" s="38">
        <v>0</v>
      </c>
      <c r="C62" s="38">
        <v>0</v>
      </c>
      <c r="D62" s="38">
        <v>0</v>
      </c>
    </row>
    <row r="63" spans="1:7" ht="15.75" thickBot="1" x14ac:dyDescent="0.3">
      <c r="A63" s="33" t="s">
        <v>131</v>
      </c>
      <c r="B63" s="38">
        <v>0</v>
      </c>
      <c r="C63" s="38">
        <v>0</v>
      </c>
      <c r="D63" s="38">
        <v>0</v>
      </c>
    </row>
    <row r="64" spans="1:7" ht="15.75" thickBot="1" x14ac:dyDescent="0.3">
      <c r="A64" s="35" t="s">
        <v>132</v>
      </c>
      <c r="B64" s="36">
        <f>SUM(B54:B63)</f>
        <v>0</v>
      </c>
      <c r="C64" s="36">
        <f t="shared" ref="C64:D64" si="7">SUM(C54:C63)</f>
        <v>0</v>
      </c>
      <c r="D64" s="36">
        <f t="shared" si="7"/>
        <v>0</v>
      </c>
      <c r="G64" s="1"/>
    </row>
    <row r="65" spans="1:4" ht="15.75" thickBot="1" x14ac:dyDescent="0.3">
      <c r="A65" s="35" t="s">
        <v>142</v>
      </c>
      <c r="B65" s="36">
        <f>SUM(B54:B63)</f>
        <v>0</v>
      </c>
      <c r="C65" s="36">
        <f>SUM(C54:C63)</f>
        <v>0</v>
      </c>
      <c r="D65" s="36">
        <f>SUM(D54:D63)</f>
        <v>0</v>
      </c>
    </row>
    <row r="66" spans="1:4" ht="15.75" thickBot="1" x14ac:dyDescent="0.3">
      <c r="A66" s="35" t="s">
        <v>45</v>
      </c>
      <c r="B66" s="36">
        <f>B43+B64+B49</f>
        <v>0</v>
      </c>
      <c r="C66" s="36">
        <f>C43+C64+C49</f>
        <v>0</v>
      </c>
      <c r="D66" s="36">
        <f>D43+D64+D49</f>
        <v>0</v>
      </c>
    </row>
    <row r="67" spans="1:4" ht="15.75" thickBot="1" x14ac:dyDescent="0.3">
      <c r="A67" s="15"/>
      <c r="B67" s="15"/>
      <c r="C67" s="15"/>
      <c r="D67" s="15"/>
    </row>
    <row r="68" spans="1:4" ht="19.5" thickBot="1" x14ac:dyDescent="0.35">
      <c r="A68" s="101" t="s">
        <v>46</v>
      </c>
      <c r="B68" s="102"/>
      <c r="C68" s="102"/>
      <c r="D68" s="103"/>
    </row>
    <row r="69" spans="1:4" ht="15.75" thickBot="1" x14ac:dyDescent="0.3">
      <c r="A69" s="39" t="s">
        <v>0</v>
      </c>
      <c r="B69" s="80">
        <v>45747</v>
      </c>
      <c r="C69" s="80">
        <v>45382</v>
      </c>
      <c r="D69" s="81">
        <v>45016</v>
      </c>
    </row>
    <row r="70" spans="1:4" ht="15.75" thickBot="1" x14ac:dyDescent="0.3">
      <c r="A70" s="39" t="s">
        <v>1</v>
      </c>
      <c r="B70" s="39" t="s">
        <v>123</v>
      </c>
      <c r="C70" s="39" t="s">
        <v>123</v>
      </c>
      <c r="D70" s="39" t="s">
        <v>123</v>
      </c>
    </row>
    <row r="71" spans="1:4" ht="15.75" thickBot="1" x14ac:dyDescent="0.3">
      <c r="A71" s="40" t="s">
        <v>2</v>
      </c>
      <c r="B71" s="39" t="s">
        <v>130</v>
      </c>
      <c r="C71" s="39" t="s">
        <v>130</v>
      </c>
      <c r="D71" s="39" t="s">
        <v>130</v>
      </c>
    </row>
    <row r="72" spans="1:4" x14ac:dyDescent="0.25">
      <c r="A72" s="41" t="s">
        <v>47</v>
      </c>
      <c r="B72" s="42"/>
      <c r="C72" s="42"/>
      <c r="D72" s="42"/>
    </row>
    <row r="73" spans="1:4" x14ac:dyDescent="0.25">
      <c r="A73" s="43" t="s">
        <v>48</v>
      </c>
      <c r="B73" s="31">
        <v>0</v>
      </c>
      <c r="C73" s="31">
        <v>0</v>
      </c>
      <c r="D73" s="22">
        <v>0</v>
      </c>
    </row>
    <row r="74" spans="1:4" x14ac:dyDescent="0.25">
      <c r="A74" s="43" t="s">
        <v>140</v>
      </c>
      <c r="B74" s="31">
        <v>0</v>
      </c>
      <c r="C74" s="31">
        <v>0</v>
      </c>
      <c r="D74" s="22">
        <v>0</v>
      </c>
    </row>
    <row r="75" spans="1:4" x14ac:dyDescent="0.25">
      <c r="A75" s="43" t="s">
        <v>49</v>
      </c>
      <c r="B75" s="31">
        <v>0</v>
      </c>
      <c r="C75" s="31">
        <v>0</v>
      </c>
      <c r="D75" s="22">
        <v>0</v>
      </c>
    </row>
    <row r="76" spans="1:4" ht="15.75" thickBot="1" x14ac:dyDescent="0.3">
      <c r="A76" s="44" t="s">
        <v>50</v>
      </c>
      <c r="B76" s="45">
        <v>0</v>
      </c>
      <c r="C76" s="45">
        <v>0</v>
      </c>
      <c r="D76" s="26">
        <v>0</v>
      </c>
    </row>
    <row r="77" spans="1:4" x14ac:dyDescent="0.25">
      <c r="A77" s="41" t="s">
        <v>51</v>
      </c>
      <c r="B77" s="46">
        <f>SUM(B73:B76)</f>
        <v>0</v>
      </c>
      <c r="C77" s="46">
        <f t="shared" ref="C77:D77" si="8">SUM(C73:C76)</f>
        <v>0</v>
      </c>
      <c r="D77" s="21">
        <f t="shared" si="8"/>
        <v>0</v>
      </c>
    </row>
    <row r="78" spans="1:4" x14ac:dyDescent="0.25">
      <c r="A78" s="43" t="s">
        <v>52</v>
      </c>
      <c r="B78" s="31">
        <v>0</v>
      </c>
      <c r="C78" s="31">
        <v>0</v>
      </c>
      <c r="D78" s="22">
        <v>0</v>
      </c>
    </row>
    <row r="79" spans="1:4" x14ac:dyDescent="0.25">
      <c r="A79" s="43" t="s">
        <v>53</v>
      </c>
      <c r="B79" s="31">
        <v>0</v>
      </c>
      <c r="C79" s="31">
        <v>0</v>
      </c>
      <c r="D79" s="22">
        <v>0</v>
      </c>
    </row>
    <row r="80" spans="1:4" ht="15.75" thickBot="1" x14ac:dyDescent="0.3">
      <c r="A80" s="44" t="s">
        <v>54</v>
      </c>
      <c r="B80" s="45">
        <v>0</v>
      </c>
      <c r="C80" s="45">
        <v>0</v>
      </c>
      <c r="D80" s="26">
        <v>0</v>
      </c>
    </row>
    <row r="81" spans="1:4" ht="15.75" thickBot="1" x14ac:dyDescent="0.3">
      <c r="A81" s="47" t="s">
        <v>55</v>
      </c>
      <c r="B81" s="48">
        <f>B77-B78-B79-B80</f>
        <v>0</v>
      </c>
      <c r="C81" s="48">
        <f t="shared" ref="C81:D81" si="9">C77-C78-C79-C80</f>
        <v>0</v>
      </c>
      <c r="D81" s="36">
        <f t="shared" si="9"/>
        <v>0</v>
      </c>
    </row>
    <row r="82" spans="1:4" ht="15.75" thickBot="1" x14ac:dyDescent="0.3">
      <c r="A82" s="47" t="s">
        <v>56</v>
      </c>
      <c r="B82" s="48">
        <f>+B81</f>
        <v>0</v>
      </c>
      <c r="C82" s="48">
        <f t="shared" ref="C82:D82" si="10">+C81</f>
        <v>0</v>
      </c>
      <c r="D82" s="36">
        <f t="shared" si="10"/>
        <v>0</v>
      </c>
    </row>
    <row r="83" spans="1:4" x14ac:dyDescent="0.25">
      <c r="A83" s="43" t="s">
        <v>57</v>
      </c>
      <c r="B83" s="31">
        <v>0</v>
      </c>
      <c r="C83" s="31">
        <v>0</v>
      </c>
      <c r="D83" s="22">
        <v>0</v>
      </c>
    </row>
    <row r="84" spans="1:4" ht="15.75" thickBot="1" x14ac:dyDescent="0.3">
      <c r="A84" s="44" t="s">
        <v>58</v>
      </c>
      <c r="B84" s="45">
        <v>0</v>
      </c>
      <c r="C84" s="31">
        <v>0</v>
      </c>
      <c r="D84" s="22">
        <v>0</v>
      </c>
    </row>
    <row r="85" spans="1:4" x14ac:dyDescent="0.25">
      <c r="A85" s="41" t="s">
        <v>59</v>
      </c>
      <c r="B85" s="46">
        <f>SUM(B83:B84)</f>
        <v>0</v>
      </c>
      <c r="C85" s="46">
        <f>SUM(C83:C84)</f>
        <v>0</v>
      </c>
      <c r="D85" s="46">
        <f>SUM(D83:D84)</f>
        <v>0</v>
      </c>
    </row>
    <row r="86" spans="1:4" x14ac:dyDescent="0.25">
      <c r="A86" s="31" t="s">
        <v>143</v>
      </c>
      <c r="B86" s="31">
        <v>0</v>
      </c>
      <c r="C86" s="31">
        <v>0</v>
      </c>
      <c r="D86" s="22">
        <v>0</v>
      </c>
    </row>
    <row r="87" spans="1:4" x14ac:dyDescent="0.25">
      <c r="A87" s="49" t="s">
        <v>144</v>
      </c>
      <c r="B87" s="50">
        <v>0</v>
      </c>
      <c r="C87" s="50">
        <v>0</v>
      </c>
      <c r="D87" s="30">
        <v>0</v>
      </c>
    </row>
    <row r="88" spans="1:4" ht="15.75" thickBot="1" x14ac:dyDescent="0.3">
      <c r="A88" s="51" t="s">
        <v>141</v>
      </c>
      <c r="B88" s="45">
        <v>0</v>
      </c>
      <c r="C88" s="45">
        <v>0</v>
      </c>
      <c r="D88" s="26">
        <v>0</v>
      </c>
    </row>
    <row r="89" spans="1:4" ht="15.75" thickBot="1" x14ac:dyDescent="0.3">
      <c r="A89" s="47" t="s">
        <v>60</v>
      </c>
      <c r="B89" s="48">
        <f>+B85+B86+B87-B88</f>
        <v>0</v>
      </c>
      <c r="C89" s="48">
        <f t="shared" ref="C89:D89" si="11">+C85+C86+C87-C88</f>
        <v>0</v>
      </c>
      <c r="D89" s="48">
        <f t="shared" si="11"/>
        <v>0</v>
      </c>
    </row>
    <row r="90" spans="1:4" x14ac:dyDescent="0.25">
      <c r="A90" s="43" t="s">
        <v>61</v>
      </c>
      <c r="B90" s="31">
        <v>0</v>
      </c>
      <c r="C90" s="31">
        <v>0</v>
      </c>
      <c r="D90" s="22">
        <v>0</v>
      </c>
    </row>
    <row r="91" spans="1:4" x14ac:dyDescent="0.25">
      <c r="A91" s="52" t="s">
        <v>62</v>
      </c>
      <c r="B91" s="31">
        <v>0</v>
      </c>
      <c r="C91" s="31">
        <v>0</v>
      </c>
      <c r="D91" s="22">
        <v>0</v>
      </c>
    </row>
    <row r="92" spans="1:4" x14ac:dyDescent="0.25">
      <c r="A92" s="43" t="s">
        <v>63</v>
      </c>
      <c r="B92" s="31">
        <v>0</v>
      </c>
      <c r="C92" s="31">
        <v>0</v>
      </c>
      <c r="D92" s="22">
        <v>0</v>
      </c>
    </row>
    <row r="93" spans="1:4" x14ac:dyDescent="0.25">
      <c r="A93" s="43" t="s">
        <v>64</v>
      </c>
      <c r="B93" s="31">
        <v>0</v>
      </c>
      <c r="C93" s="31">
        <v>0</v>
      </c>
      <c r="D93" s="22">
        <v>0</v>
      </c>
    </row>
    <row r="94" spans="1:4" x14ac:dyDescent="0.25">
      <c r="A94" s="43" t="s">
        <v>65</v>
      </c>
      <c r="B94" s="31">
        <v>0</v>
      </c>
      <c r="C94" s="31">
        <v>0</v>
      </c>
      <c r="D94" s="22">
        <v>0</v>
      </c>
    </row>
    <row r="95" spans="1:4" ht="15.75" thickBot="1" x14ac:dyDescent="0.3">
      <c r="A95" s="44" t="s">
        <v>66</v>
      </c>
      <c r="B95" s="45">
        <v>0</v>
      </c>
      <c r="C95" s="45">
        <v>0</v>
      </c>
      <c r="D95" s="26">
        <v>0</v>
      </c>
    </row>
    <row r="96" spans="1:4" ht="15.75" thickBot="1" x14ac:dyDescent="0.3">
      <c r="A96" s="53" t="s">
        <v>67</v>
      </c>
      <c r="B96" s="48">
        <f>SUM(B90:B95)</f>
        <v>0</v>
      </c>
      <c r="C96" s="48">
        <f t="shared" ref="C96:D96" si="12">SUM(C90:C95)</f>
        <v>0</v>
      </c>
      <c r="D96" s="48">
        <f t="shared" si="12"/>
        <v>0</v>
      </c>
    </row>
    <row r="97" spans="1:4" x14ac:dyDescent="0.25">
      <c r="A97" s="54" t="s">
        <v>68</v>
      </c>
      <c r="B97" s="55">
        <v>0</v>
      </c>
      <c r="C97" s="55">
        <v>0</v>
      </c>
      <c r="D97" s="37">
        <v>0</v>
      </c>
    </row>
    <row r="98" spans="1:4" x14ac:dyDescent="0.25">
      <c r="A98" s="43" t="s">
        <v>69</v>
      </c>
      <c r="B98" s="31">
        <v>0</v>
      </c>
      <c r="C98" s="31">
        <v>0</v>
      </c>
      <c r="D98" s="22">
        <v>0</v>
      </c>
    </row>
    <row r="99" spans="1:4" x14ac:dyDescent="0.25">
      <c r="A99" s="43" t="s">
        <v>70</v>
      </c>
      <c r="B99" s="9">
        <v>0</v>
      </c>
      <c r="C99" s="31">
        <v>0</v>
      </c>
      <c r="D99" s="10">
        <v>0</v>
      </c>
    </row>
    <row r="100" spans="1:4" ht="15.75" thickBot="1" x14ac:dyDescent="0.3">
      <c r="A100" s="44" t="s">
        <v>71</v>
      </c>
      <c r="B100" s="25">
        <v>0</v>
      </c>
      <c r="C100" s="45">
        <v>0</v>
      </c>
      <c r="D100" s="56">
        <v>0</v>
      </c>
    </row>
    <row r="101" spans="1:4" ht="15.75" thickBot="1" x14ac:dyDescent="0.3">
      <c r="A101" s="53" t="s">
        <v>72</v>
      </c>
      <c r="B101" s="48">
        <f>SUM(B97:B100)</f>
        <v>0</v>
      </c>
      <c r="C101" s="48">
        <f t="shared" ref="C101:D101" si="13">SUM(C97:C100)</f>
        <v>0</v>
      </c>
      <c r="D101" s="48">
        <f t="shared" si="13"/>
        <v>0</v>
      </c>
    </row>
    <row r="102" spans="1:4" x14ac:dyDescent="0.25">
      <c r="A102" s="43" t="s">
        <v>73</v>
      </c>
      <c r="B102" s="31">
        <v>0</v>
      </c>
      <c r="C102" s="31">
        <v>0</v>
      </c>
      <c r="D102" s="22">
        <v>0</v>
      </c>
    </row>
    <row r="103" spans="1:4" x14ac:dyDescent="0.25">
      <c r="A103" s="43" t="s">
        <v>74</v>
      </c>
      <c r="B103" s="31">
        <v>0</v>
      </c>
      <c r="C103" s="31">
        <v>0</v>
      </c>
      <c r="D103" s="22">
        <v>0</v>
      </c>
    </row>
    <row r="104" spans="1:4" ht="15.75" thickBot="1" x14ac:dyDescent="0.3">
      <c r="A104" s="44" t="s">
        <v>75</v>
      </c>
      <c r="B104" s="45">
        <v>0</v>
      </c>
      <c r="C104" s="45">
        <v>0</v>
      </c>
      <c r="D104" s="26">
        <v>0</v>
      </c>
    </row>
    <row r="105" spans="1:4" ht="15.75" thickBot="1" x14ac:dyDescent="0.3">
      <c r="A105" s="57" t="s">
        <v>76</v>
      </c>
      <c r="B105" s="27">
        <f>SUM(B102:B104)</f>
        <v>0</v>
      </c>
      <c r="C105" s="27">
        <f t="shared" ref="C105:D105" si="14">SUM(C102:C104)</f>
        <v>0</v>
      </c>
      <c r="D105" s="27">
        <f t="shared" si="14"/>
        <v>0</v>
      </c>
    </row>
    <row r="106" spans="1:4" ht="15.75" thickBot="1" x14ac:dyDescent="0.3">
      <c r="A106" s="47" t="s">
        <v>77</v>
      </c>
      <c r="B106" s="48">
        <f>+B96+B101+B105</f>
        <v>0</v>
      </c>
      <c r="C106" s="48">
        <f t="shared" ref="C106:D106" si="15">+C96+C101+C105</f>
        <v>0</v>
      </c>
      <c r="D106" s="48">
        <f t="shared" si="15"/>
        <v>0</v>
      </c>
    </row>
    <row r="107" spans="1:4" ht="15.75" thickBot="1" x14ac:dyDescent="0.3">
      <c r="A107" s="47" t="s">
        <v>78</v>
      </c>
      <c r="B107" s="48">
        <f>B89+B96+B101+B105</f>
        <v>0</v>
      </c>
      <c r="C107" s="48">
        <f t="shared" ref="C107:D107" si="16">C89+C96+C101+C105</f>
        <v>0</v>
      </c>
      <c r="D107" s="48">
        <f t="shared" si="16"/>
        <v>0</v>
      </c>
    </row>
    <row r="108" spans="1:4" ht="15.75" thickBot="1" x14ac:dyDescent="0.3">
      <c r="A108" s="47" t="s">
        <v>79</v>
      </c>
      <c r="B108" s="48">
        <f>+B82+B89+B96+B101+B105</f>
        <v>0</v>
      </c>
      <c r="C108" s="48">
        <f t="shared" ref="C108:D108" si="17">+C82+C89+C96+C101+C105</f>
        <v>0</v>
      </c>
      <c r="D108" s="48">
        <f t="shared" si="17"/>
        <v>0</v>
      </c>
    </row>
    <row r="109" spans="1:4" ht="15.75" thickBot="1" x14ac:dyDescent="0.3"/>
    <row r="110" spans="1:4" ht="15.75" thickBot="1" x14ac:dyDescent="0.3">
      <c r="A110" s="58" t="s">
        <v>80</v>
      </c>
      <c r="B110" s="77">
        <v>45747</v>
      </c>
      <c r="C110" s="78">
        <v>45382</v>
      </c>
      <c r="D110" s="79">
        <v>45016</v>
      </c>
    </row>
    <row r="111" spans="1:4" ht="15.75" thickBot="1" x14ac:dyDescent="0.3">
      <c r="A111" s="59" t="s">
        <v>81</v>
      </c>
      <c r="B111" s="60">
        <f>IFERROR(B64/B106,0)</f>
        <v>0</v>
      </c>
      <c r="C111" s="60">
        <f t="shared" ref="C111:D111" si="18">IFERROR(C64/C106,0)</f>
        <v>0</v>
      </c>
      <c r="D111" s="60">
        <f t="shared" si="18"/>
        <v>0</v>
      </c>
    </row>
    <row r="112" spans="1:4" ht="15.75" thickBot="1" x14ac:dyDescent="0.3">
      <c r="A112" s="59" t="s">
        <v>82</v>
      </c>
      <c r="B112" s="61">
        <f>IFERROR(B7/(B64-B106),0)</f>
        <v>0</v>
      </c>
      <c r="C112" s="61">
        <f>IFERROR(C7/(C64-C106),0)</f>
        <v>0</v>
      </c>
      <c r="D112" s="61">
        <f>IFERROR(D7/(D64-D106),0)</f>
        <v>0</v>
      </c>
    </row>
    <row r="113" spans="1:4" ht="15.75" thickBot="1" x14ac:dyDescent="0.3">
      <c r="A113" s="59" t="s">
        <v>83</v>
      </c>
      <c r="B113" s="61" t="e">
        <f>((B54+C54)*0.5)/B7*365</f>
        <v>#DIV/0!</v>
      </c>
      <c r="C113" s="61" t="e">
        <f>((C54+D54)*0.5)/C7*365</f>
        <v>#DIV/0!</v>
      </c>
      <c r="D113" s="61">
        <f>IFERROR((D54/D7)*365,0)</f>
        <v>0</v>
      </c>
    </row>
    <row r="114" spans="1:4" ht="15.75" thickBot="1" x14ac:dyDescent="0.3">
      <c r="A114" s="59" t="s">
        <v>84</v>
      </c>
      <c r="B114" s="61" t="e">
        <f>((B98+C98)*0.5/B18*365)</f>
        <v>#DIV/0!</v>
      </c>
      <c r="C114" s="61" t="e">
        <f>((C98+D98)*0.5/C18*365)</f>
        <v>#DIV/0!</v>
      </c>
      <c r="D114" s="61">
        <f>IFERROR(((D97+D98)/D18)*365,0)</f>
        <v>0</v>
      </c>
    </row>
    <row r="115" spans="1:4" ht="15.75" thickBot="1" x14ac:dyDescent="0.3">
      <c r="A115" s="59" t="s">
        <v>85</v>
      </c>
      <c r="B115" s="61" t="e">
        <f>B113-B114</f>
        <v>#DIV/0!</v>
      </c>
      <c r="C115" s="61" t="e">
        <f>C113-C114</f>
        <v>#DIV/0!</v>
      </c>
      <c r="D115" s="61">
        <f>D113-D114</f>
        <v>0</v>
      </c>
    </row>
    <row r="116" spans="1:4" x14ac:dyDescent="0.25">
      <c r="A116" s="62"/>
      <c r="B116" s="62"/>
      <c r="C116" s="62"/>
      <c r="D116" s="62"/>
    </row>
    <row r="117" spans="1:4" x14ac:dyDescent="0.25">
      <c r="A117" s="62"/>
      <c r="B117" s="62"/>
      <c r="C117" s="62"/>
      <c r="D117" s="62"/>
    </row>
    <row r="118" spans="1:4" x14ac:dyDescent="0.25">
      <c r="A118" s="63" t="s">
        <v>92</v>
      </c>
      <c r="B118" s="62"/>
      <c r="C118" s="62"/>
      <c r="D118" s="62"/>
    </row>
    <row r="119" spans="1:4" x14ac:dyDescent="0.25">
      <c r="A119" s="63" t="s">
        <v>93</v>
      </c>
      <c r="B119" s="62"/>
      <c r="C119" s="62"/>
      <c r="D119" s="62"/>
    </row>
    <row r="120" spans="1:4" ht="15.75" thickBot="1" x14ac:dyDescent="0.3"/>
    <row r="121" spans="1:4" ht="15.75" thickBot="1" x14ac:dyDescent="0.3">
      <c r="A121" s="58" t="s">
        <v>80</v>
      </c>
      <c r="B121" s="77">
        <v>45747</v>
      </c>
      <c r="C121" s="78">
        <v>45382</v>
      </c>
      <c r="D121" s="79">
        <v>45016</v>
      </c>
    </row>
    <row r="122" spans="1:4" ht="15.75" thickBot="1" x14ac:dyDescent="0.3">
      <c r="A122" s="59" t="s">
        <v>86</v>
      </c>
      <c r="B122" s="61">
        <f>IFERROR(B96/B82,0)</f>
        <v>0</v>
      </c>
      <c r="C122" s="61">
        <f>IFERROR(C96/C82,0)</f>
        <v>0</v>
      </c>
      <c r="D122" s="61">
        <f>IFERROR(D96/D82,0)</f>
        <v>0</v>
      </c>
    </row>
    <row r="123" spans="1:4" ht="15.75" thickBot="1" x14ac:dyDescent="0.3">
      <c r="A123" s="64" t="s">
        <v>87</v>
      </c>
      <c r="B123" s="61" t="e">
        <f>(B96+B98)/B82</f>
        <v>#DIV/0!</v>
      </c>
      <c r="C123" s="61" t="e">
        <f>(C96+C98)/C82</f>
        <v>#DIV/0!</v>
      </c>
      <c r="D123" s="61">
        <v>0</v>
      </c>
    </row>
    <row r="124" spans="1:4" ht="15.75" thickBot="1" x14ac:dyDescent="0.3">
      <c r="A124" s="64" t="s">
        <v>88</v>
      </c>
      <c r="B124" s="61" t="e">
        <f>(B96+B98)/B82</f>
        <v>#DIV/0!</v>
      </c>
      <c r="C124" s="61" t="e">
        <f>(C96+C98)/C82</f>
        <v>#DIV/0!</v>
      </c>
      <c r="D124" s="61">
        <v>0</v>
      </c>
    </row>
    <row r="125" spans="1:4" ht="15.75" thickBot="1" x14ac:dyDescent="0.3">
      <c r="A125" s="59" t="s">
        <v>89</v>
      </c>
      <c r="B125" s="61">
        <f>B107/(B82-22.35)</f>
        <v>0</v>
      </c>
      <c r="C125" s="61">
        <f>C107/(C82-10.77)</f>
        <v>0</v>
      </c>
      <c r="D125" s="61">
        <v>0</v>
      </c>
    </row>
    <row r="126" spans="1:4" ht="15.75" thickBot="1" x14ac:dyDescent="0.3">
      <c r="A126" s="59" t="s">
        <v>90</v>
      </c>
      <c r="B126" s="61">
        <f>IFERROR(B22/(B85+B96),0)</f>
        <v>0</v>
      </c>
      <c r="C126" s="61">
        <f>IFERROR(C22/(C85+C96),0)</f>
        <v>0</v>
      </c>
      <c r="D126" s="61">
        <f>IFERROR(D22/(D85+D96),0)</f>
        <v>0</v>
      </c>
    </row>
    <row r="127" spans="1:4" ht="15.75" thickBot="1" x14ac:dyDescent="0.3">
      <c r="A127" s="59" t="s">
        <v>91</v>
      </c>
      <c r="B127" s="61">
        <f>IFERROR(B107/B82,0)</f>
        <v>0</v>
      </c>
      <c r="C127" s="61">
        <f>IFERROR(C107/C82,0)</f>
        <v>0</v>
      </c>
      <c r="D127" s="61">
        <f>IFERROR(D107/D82,0)</f>
        <v>0</v>
      </c>
    </row>
    <row r="128" spans="1:4" ht="15.75" thickBot="1" x14ac:dyDescent="0.3"/>
    <row r="129" spans="1:4" ht="19.5" thickBot="1" x14ac:dyDescent="0.35">
      <c r="A129" s="104" t="s">
        <v>94</v>
      </c>
      <c r="B129" s="104"/>
      <c r="C129" s="104"/>
      <c r="D129" s="104"/>
    </row>
    <row r="130" spans="1:4" ht="15.75" thickBot="1" x14ac:dyDescent="0.3">
      <c r="A130" s="65" t="s">
        <v>0</v>
      </c>
      <c r="B130" s="83">
        <v>45747</v>
      </c>
      <c r="C130" s="83">
        <v>45382</v>
      </c>
      <c r="D130" s="84">
        <v>45016</v>
      </c>
    </row>
    <row r="131" spans="1:4" ht="15.75" thickBot="1" x14ac:dyDescent="0.3">
      <c r="A131" s="66" t="s">
        <v>1</v>
      </c>
      <c r="B131" s="67"/>
      <c r="C131" s="67"/>
      <c r="D131" s="67"/>
    </row>
    <row r="132" spans="1:4" ht="15.75" thickBot="1" x14ac:dyDescent="0.3">
      <c r="A132" s="105" t="s">
        <v>95</v>
      </c>
      <c r="B132" s="106"/>
      <c r="C132" s="106"/>
      <c r="D132" s="107"/>
    </row>
    <row r="133" spans="1:4" ht="15.75" thickBot="1" x14ac:dyDescent="0.3">
      <c r="A133" s="88" t="s">
        <v>96</v>
      </c>
      <c r="B133" s="88"/>
      <c r="C133" s="88"/>
      <c r="D133" s="88"/>
    </row>
    <row r="134" spans="1:4" ht="15.75" thickBot="1" x14ac:dyDescent="0.3">
      <c r="A134" s="61" t="s">
        <v>97</v>
      </c>
      <c r="B134" s="68" t="e">
        <f>(B7-C7)/C7*100</f>
        <v>#DIV/0!</v>
      </c>
      <c r="C134" s="68" t="e">
        <f>(C7-D7)/D7*100</f>
        <v>#DIV/0!</v>
      </c>
      <c r="D134" s="68" t="e">
        <f>(D7-E7)/E7*100</f>
        <v>#DIV/0!</v>
      </c>
    </row>
    <row r="135" spans="1:4" ht="15.75" thickBot="1" x14ac:dyDescent="0.3">
      <c r="A135" s="61" t="s">
        <v>98</v>
      </c>
      <c r="B135" s="68" t="e">
        <f>(B9-C9)/C9*100</f>
        <v>#DIV/0!</v>
      </c>
      <c r="C135" s="68" t="e">
        <f>(C9-D9)/D9*100</f>
        <v>#DIV/0!</v>
      </c>
      <c r="D135" s="68" t="e">
        <f>(D9-E9)/E9*100</f>
        <v>#DIV/0!</v>
      </c>
    </row>
    <row r="136" spans="1:4" ht="15.75" thickBot="1" x14ac:dyDescent="0.3">
      <c r="A136" s="61" t="s">
        <v>99</v>
      </c>
      <c r="B136" s="69" t="e">
        <f>(B19-C19)/C19*100</f>
        <v>#DIV/0!</v>
      </c>
      <c r="C136" s="69" t="e">
        <f>(C19-D19)/D19*100</f>
        <v>#DIV/0!</v>
      </c>
      <c r="D136" s="69" t="e">
        <f>(D19-E19)/E19*100</f>
        <v>#DIV/0!</v>
      </c>
    </row>
    <row r="137" spans="1:4" ht="15.75" thickBot="1" x14ac:dyDescent="0.3">
      <c r="A137" s="61" t="s">
        <v>100</v>
      </c>
      <c r="B137" s="68" t="e">
        <f>(B31-C31)/C31*100</f>
        <v>#DIV/0!</v>
      </c>
      <c r="C137" s="68" t="e">
        <f>(C31-D31)/D31*100</f>
        <v>#DIV/0!</v>
      </c>
      <c r="D137" s="68" t="e">
        <f>(D31-E31)/E31*100</f>
        <v>#DIV/0!</v>
      </c>
    </row>
    <row r="138" spans="1:4" ht="23.1" customHeight="1" thickBot="1" x14ac:dyDescent="0.3">
      <c r="A138" s="89" t="s">
        <v>101</v>
      </c>
      <c r="B138" s="90"/>
      <c r="C138" s="90"/>
      <c r="D138" s="91"/>
    </row>
    <row r="139" spans="1:4" ht="15.75" thickBot="1" x14ac:dyDescent="0.3">
      <c r="A139" s="70" t="s">
        <v>102</v>
      </c>
      <c r="B139" s="71" t="e">
        <f>B19/B9*100</f>
        <v>#DIV/0!</v>
      </c>
      <c r="C139" s="71" t="e">
        <f>C19/C9*100</f>
        <v>#DIV/0!</v>
      </c>
      <c r="D139" s="71">
        <f>IFERROR(((D7-D11)/D7)*100,0)</f>
        <v>0</v>
      </c>
    </row>
    <row r="140" spans="1:4" ht="15.75" thickBot="1" x14ac:dyDescent="0.3">
      <c r="A140" s="70" t="s">
        <v>103</v>
      </c>
      <c r="B140" s="71">
        <f>IFERROR((B19/B9)*100,0)</f>
        <v>0</v>
      </c>
      <c r="C140" s="71">
        <f>IFERROR((C19/C9)*100,0)</f>
        <v>0</v>
      </c>
      <c r="D140" s="71">
        <f>IFERROR((D19/D9)*100,0)</f>
        <v>0</v>
      </c>
    </row>
    <row r="141" spans="1:4" ht="15.75" thickBot="1" x14ac:dyDescent="0.3">
      <c r="A141" s="70" t="s">
        <v>104</v>
      </c>
      <c r="B141" s="71" t="e">
        <f>B21/B9*100</f>
        <v>#DIV/0!</v>
      </c>
      <c r="C141" s="71" t="e">
        <f>C21/C9*100</f>
        <v>#DIV/0!</v>
      </c>
      <c r="D141" s="71">
        <f>IFERROR((D21/D9)*100,0)</f>
        <v>0</v>
      </c>
    </row>
    <row r="142" spans="1:4" ht="15.75" thickBot="1" x14ac:dyDescent="0.3">
      <c r="A142" s="70" t="s">
        <v>105</v>
      </c>
      <c r="B142" s="71">
        <f>IFERROR((B23/B9)*100,0)</f>
        <v>0</v>
      </c>
      <c r="C142" s="71">
        <f>IFERROR((C23/C9)*100,0)</f>
        <v>0</v>
      </c>
      <c r="D142" s="71">
        <f>IFERROR((D23/D9)*100,0)</f>
        <v>0</v>
      </c>
    </row>
    <row r="143" spans="1:4" ht="15.75" thickBot="1" x14ac:dyDescent="0.3">
      <c r="A143" s="70" t="s">
        <v>106</v>
      </c>
      <c r="B143" s="72" t="e">
        <f>B31/B9*100</f>
        <v>#DIV/0!</v>
      </c>
      <c r="C143" s="72" t="e">
        <f>C31/C9*100</f>
        <v>#DIV/0!</v>
      </c>
      <c r="D143" s="71">
        <f>IFERROR((#REF!/D9)*100,0)</f>
        <v>0</v>
      </c>
    </row>
    <row r="144" spans="1:4" ht="15.75" thickBot="1" x14ac:dyDescent="0.3">
      <c r="A144" s="59" t="s">
        <v>107</v>
      </c>
      <c r="B144" s="73" t="e">
        <f>B31/B9*100</f>
        <v>#DIV/0!</v>
      </c>
      <c r="C144" s="74" t="e">
        <f>C31/C9*100</f>
        <v>#DIV/0!</v>
      </c>
      <c r="D144" s="72">
        <f>IFERROR((D31/D9)*100,0)</f>
        <v>0</v>
      </c>
    </row>
    <row r="145" spans="1:4" ht="15.75" thickBot="1" x14ac:dyDescent="0.3">
      <c r="A145" s="59" t="s">
        <v>108</v>
      </c>
      <c r="B145" s="61" t="e">
        <f>B21/B82*100</f>
        <v>#DIV/0!</v>
      </c>
      <c r="C145" s="61" t="e">
        <f>C21/C82*100</f>
        <v>#DIV/0!</v>
      </c>
      <c r="D145" s="75">
        <f>IFERROR((D21/(D43+(D66-D108))*100),0)</f>
        <v>0</v>
      </c>
    </row>
    <row r="146" spans="1:4" ht="15.75" thickBot="1" x14ac:dyDescent="0.3">
      <c r="A146" s="59" t="s">
        <v>109</v>
      </c>
      <c r="B146" s="76" t="e">
        <f>B21/B82*100</f>
        <v>#DIV/0!</v>
      </c>
      <c r="C146" s="76" t="e">
        <f>C21/C82*100</f>
        <v>#DIV/0!</v>
      </c>
      <c r="D146" s="71">
        <f>IFERROR((D21/D66)*100,0)</f>
        <v>0</v>
      </c>
    </row>
    <row r="147" spans="1:4" ht="15.75" thickBot="1" x14ac:dyDescent="0.3">
      <c r="A147" s="70" t="s">
        <v>110</v>
      </c>
      <c r="B147" s="71">
        <f>B31/(B81-22.35)*100</f>
        <v>0</v>
      </c>
      <c r="C147" s="71">
        <f>C31/(C81-10.77)*100</f>
        <v>0</v>
      </c>
      <c r="D147" s="71">
        <f>IFERROR((D22/D67)*100,0)</f>
        <v>0</v>
      </c>
    </row>
    <row r="148" spans="1:4" ht="15.75" thickBot="1" x14ac:dyDescent="0.3">
      <c r="A148" s="70" t="s">
        <v>90</v>
      </c>
      <c r="B148" s="71">
        <f>IFERROR((B22/(B85+B96))*100,0)</f>
        <v>0</v>
      </c>
      <c r="C148" s="71">
        <f>IFERROR((C22/(C85+C96))*100,0)</f>
        <v>0</v>
      </c>
      <c r="D148" s="71">
        <f>IFERROR((D22/(D85+D96))*100,0)</f>
        <v>0</v>
      </c>
    </row>
    <row r="149" spans="1:4" ht="23.45" customHeight="1" thickBot="1" x14ac:dyDescent="0.3">
      <c r="A149" s="92" t="s">
        <v>111</v>
      </c>
      <c r="B149" s="93"/>
      <c r="C149" s="93"/>
      <c r="D149" s="94"/>
    </row>
    <row r="150" spans="1:4" ht="15.75" thickBot="1" x14ac:dyDescent="0.3">
      <c r="A150" s="70" t="s">
        <v>112</v>
      </c>
      <c r="B150" s="71" t="e">
        <f>B7/(B54-B98)</f>
        <v>#DIV/0!</v>
      </c>
      <c r="C150" s="71" t="e">
        <f>C7/(C54-C98)</f>
        <v>#DIV/0!</v>
      </c>
      <c r="D150" s="71" t="e">
        <f>D7/(D54-D98)</f>
        <v>#DIV/0!</v>
      </c>
    </row>
    <row r="151" spans="1:4" ht="15.75" thickBot="1" x14ac:dyDescent="0.3">
      <c r="A151" s="70" t="s">
        <v>113</v>
      </c>
      <c r="B151" s="71" t="e">
        <f>B7/B43</f>
        <v>#DIV/0!</v>
      </c>
      <c r="C151" s="71" t="e">
        <f>C7/C43</f>
        <v>#DIV/0!</v>
      </c>
      <c r="D151" s="71">
        <f>IFERROR(D7/D43,0)</f>
        <v>0</v>
      </c>
    </row>
    <row r="152" spans="1:4" ht="15.75" thickBot="1" x14ac:dyDescent="0.3">
      <c r="A152" s="70" t="s">
        <v>82</v>
      </c>
      <c r="B152" s="71" t="e">
        <f>B7/(B65-B106)</f>
        <v>#DIV/0!</v>
      </c>
      <c r="C152" s="71" t="e">
        <f>C7/(C65-C106)</f>
        <v>#DIV/0!</v>
      </c>
      <c r="D152" s="61">
        <f>IFERROR(D7/(D64-D106),0)</f>
        <v>0</v>
      </c>
    </row>
    <row r="153" spans="1:4" ht="15.75" thickBot="1" x14ac:dyDescent="0.3">
      <c r="A153" s="70" t="s">
        <v>83</v>
      </c>
      <c r="B153" s="71" t="e">
        <f>((B54+C54)*0.5)/B7*365</f>
        <v>#DIV/0!</v>
      </c>
      <c r="C153" s="71" t="e">
        <f>((C54+D54)*0.5)/C7*365</f>
        <v>#DIV/0!</v>
      </c>
      <c r="D153" s="71">
        <f>IFERROR((D54/D7)*365,0)</f>
        <v>0</v>
      </c>
    </row>
    <row r="154" spans="1:4" ht="15.75" thickBot="1" x14ac:dyDescent="0.3">
      <c r="A154" s="70" t="s">
        <v>84</v>
      </c>
      <c r="B154" s="71" t="e">
        <f>((B98+C98)*0.5/B18*365)</f>
        <v>#DIV/0!</v>
      </c>
      <c r="C154" s="71" t="e">
        <f>((C98+D98)*0.5/C18*365)</f>
        <v>#DIV/0!</v>
      </c>
      <c r="D154" s="71">
        <f>IFERROR((D97/D11)*365,0)</f>
        <v>0</v>
      </c>
    </row>
    <row r="155" spans="1:4" ht="15.75" thickBot="1" x14ac:dyDescent="0.3">
      <c r="A155" s="70" t="s">
        <v>114</v>
      </c>
      <c r="B155" s="71" t="e">
        <f>B153-B154</f>
        <v>#DIV/0!</v>
      </c>
      <c r="C155" s="71" t="e">
        <f>C153-C154</f>
        <v>#DIV/0!</v>
      </c>
      <c r="D155" s="71">
        <f>D153-D154</f>
        <v>0</v>
      </c>
    </row>
    <row r="156" spans="1:4" ht="28.5" customHeight="1" thickBot="1" x14ac:dyDescent="0.3">
      <c r="A156" s="92" t="s">
        <v>121</v>
      </c>
      <c r="B156" s="93"/>
      <c r="C156" s="93"/>
      <c r="D156" s="94"/>
    </row>
    <row r="157" spans="1:4" ht="15.75" thickBot="1" x14ac:dyDescent="0.3">
      <c r="A157" s="70" t="s">
        <v>86</v>
      </c>
      <c r="B157" s="71">
        <f t="shared" ref="B157:D158" si="19">B122</f>
        <v>0</v>
      </c>
      <c r="C157" s="71">
        <f t="shared" si="19"/>
        <v>0</v>
      </c>
      <c r="D157" s="71">
        <f t="shared" si="19"/>
        <v>0</v>
      </c>
    </row>
    <row r="158" spans="1:4" ht="15.75" thickBot="1" x14ac:dyDescent="0.3">
      <c r="A158" s="70" t="s">
        <v>87</v>
      </c>
      <c r="B158" s="71" t="e">
        <f t="shared" si="19"/>
        <v>#DIV/0!</v>
      </c>
      <c r="C158" s="71" t="e">
        <f t="shared" si="19"/>
        <v>#DIV/0!</v>
      </c>
      <c r="D158" s="71">
        <f t="shared" si="19"/>
        <v>0</v>
      </c>
    </row>
    <row r="159" spans="1:4" ht="15.75" thickBot="1" x14ac:dyDescent="0.3">
      <c r="A159" s="70" t="s">
        <v>115</v>
      </c>
      <c r="B159" s="71">
        <f>B157</f>
        <v>0</v>
      </c>
      <c r="C159" s="71">
        <f>C157</f>
        <v>0</v>
      </c>
      <c r="D159" s="71">
        <f>D157</f>
        <v>0</v>
      </c>
    </row>
    <row r="160" spans="1:4" ht="15.75" thickBot="1" x14ac:dyDescent="0.3">
      <c r="A160" s="70" t="s">
        <v>89</v>
      </c>
      <c r="B160" s="71">
        <f>B125</f>
        <v>0</v>
      </c>
      <c r="C160" s="71">
        <f>C125</f>
        <v>0</v>
      </c>
      <c r="D160" s="71">
        <f>D125</f>
        <v>0</v>
      </c>
    </row>
    <row r="161" spans="1:4" ht="15.75" thickBot="1" x14ac:dyDescent="0.3">
      <c r="A161" s="70" t="s">
        <v>116</v>
      </c>
      <c r="B161" s="71">
        <f>IFERROR((B85+B96)/B32,0)</f>
        <v>0</v>
      </c>
      <c r="C161" s="71">
        <f>IFERROR((C85+C96)/C32,0)</f>
        <v>0</v>
      </c>
      <c r="D161" s="71">
        <f>IFERROR((D85+D96)/D32,0)</f>
        <v>0</v>
      </c>
    </row>
    <row r="162" spans="1:4" ht="15.75" thickBot="1" x14ac:dyDescent="0.3">
      <c r="A162" s="70" t="s">
        <v>117</v>
      </c>
      <c r="B162" s="71">
        <f>IFERROR((B85+B89+B96)/B32,0)</f>
        <v>0</v>
      </c>
      <c r="C162" s="71">
        <f>IFERROR((C85+C89+C96)/C32,0)</f>
        <v>0</v>
      </c>
      <c r="D162" s="71">
        <f>IFERROR((D85+D89+D96)/D32,0)</f>
        <v>0</v>
      </c>
    </row>
    <row r="163" spans="1:4" ht="15.75" thickBot="1" x14ac:dyDescent="0.3">
      <c r="A163" s="70" t="s">
        <v>118</v>
      </c>
      <c r="B163" s="71">
        <f>IFERROR(B19/B22,0)</f>
        <v>0</v>
      </c>
      <c r="C163" s="71">
        <f t="shared" ref="C163:D163" si="20">IFERROR(C19/C22,0)</f>
        <v>0</v>
      </c>
      <c r="D163" s="71">
        <f t="shared" si="20"/>
        <v>0</v>
      </c>
    </row>
    <row r="164" spans="1:4" ht="15.75" thickBot="1" x14ac:dyDescent="0.3">
      <c r="A164" s="70" t="s">
        <v>119</v>
      </c>
      <c r="B164" s="71">
        <f>IFERROR(B21/B22,0)</f>
        <v>0</v>
      </c>
      <c r="C164" s="71">
        <f t="shared" ref="C164:D164" si="21">IFERROR(C21/C22,0)</f>
        <v>0</v>
      </c>
      <c r="D164" s="71">
        <f t="shared" si="21"/>
        <v>0</v>
      </c>
    </row>
    <row r="165" spans="1:4" ht="15.75" thickBot="1" x14ac:dyDescent="0.3">
      <c r="A165" s="70" t="s">
        <v>120</v>
      </c>
      <c r="B165" s="71">
        <f>B163</f>
        <v>0</v>
      </c>
      <c r="C165" s="71">
        <f>C163</f>
        <v>0</v>
      </c>
      <c r="D165" s="71">
        <f>D163</f>
        <v>0</v>
      </c>
    </row>
  </sheetData>
  <mergeCells count="9">
    <mergeCell ref="A133:D133"/>
    <mergeCell ref="A138:D138"/>
    <mergeCell ref="A149:D149"/>
    <mergeCell ref="A156:D156"/>
    <mergeCell ref="A2:D2"/>
    <mergeCell ref="A34:D34"/>
    <mergeCell ref="A68:D68"/>
    <mergeCell ref="A129:D129"/>
    <mergeCell ref="A132:D132"/>
  </mergeCells>
  <pageMargins left="0.7" right="0.7" top="0.75" bottom="0.75" header="0.3" footer="0.3"/>
  <pageSetup paperSize="9" orientation="portrait" horizontalDpi="300" verticalDpi="300" r:id="rId1"/>
  <ignoredErrors>
    <ignoredError sqref="B18:D18 B9:D9 A19:D19 B77:C78 A66:D66 A35:C35 A36:D38 B65:D65 B88:D88 B101:D103 D77 B105:D108 D104 B81:D83 B90:D91 B89:D89 A23:D28 A22 A21:D21 A20 A30:D34 A29 D29 A41:D43 A39 A40 A45:D45 A44 C44:D44 A60:D61 A59 A56:D57 A55 A52:D54 A51 A50 C50:D50 A49:D49 A47 D47 A48 D48 A58 D58 A64:D64 A63 A62 A46 D46 C94:D94 B96:D96 D95 B85:D8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SHUKLA</dc:creator>
  <cp:lastModifiedBy>ADMIN</cp:lastModifiedBy>
  <dcterms:created xsi:type="dcterms:W3CDTF">2024-05-23T04:44:37Z</dcterms:created>
  <dcterms:modified xsi:type="dcterms:W3CDTF">2026-03-17T13:04:47Z</dcterms:modified>
</cp:coreProperties>
</file>